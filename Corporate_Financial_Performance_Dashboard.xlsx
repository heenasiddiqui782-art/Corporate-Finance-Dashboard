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aw_Data" sheetId="2" state="visible" r:id="rId4"/>
    <sheet name="Revenue_Analysis" sheetId="3" state="visible" r:id="rId5"/>
    <sheet name="Cost_Analysis" sheetId="4" state="visible" r:id="rId6"/>
    <sheet name="Profitability" sheetId="5" state="visible" r:id="rId7"/>
    <sheet name="Budget_vs_Actual" sheetId="6" state="visible" r:id="rId8"/>
    <sheet name="Working_Capital" sheetId="7" state="visible" r:id="rId9"/>
    <sheet name="KPI_Summary" sheetId="8" state="visible" r:id="rId10"/>
  </sheets>
  <definedNames>
    <definedName function="false" hidden="true" localSheetId="1" name="_xlnm._FilterDatabase" vbProcedure="false">Raw_Data!$A$1:$AC$121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Y1" authorId="0">
      <text>
        <r>
          <rPr>
            <sz val="10"/>
            <rFont val="Arial"/>
            <family val="2"/>
          </rPr>
          <t xml:space="preserve">Budget_Variance = Actual_Revenue - Budgeted_Revenue (revenue variance). Expense variance is calculated separately in Budget_vs_Actual sheet.</t>
        </r>
      </text>
    </comment>
    <comment ref="AC1" authorId="0">
      <text>
        <r>
          <rPr>
            <sz val="10"/>
            <rFont val="Arial"/>
            <family val="2"/>
          </rPr>
          <t xml:space="preserve">Working_Capital simplified as Accounts_Receivable - Accounts_Payable (operating working capital proxy). Full working capital would include inventory and other current assets/liabilities, not modeled here.</t>
        </r>
      </text>
    </comment>
  </commentList>
</comments>
</file>

<file path=xl/sharedStrings.xml><?xml version="1.0" encoding="utf-8"?>
<sst xmlns="http://schemas.openxmlformats.org/spreadsheetml/2006/main" count="910" uniqueCount="147">
  <si>
    <t xml:space="preserve">NimbusEdge Technologies — Corporate Financial Performance Dashboard</t>
  </si>
  <si>
    <t xml:space="preserve">FY2024–FY2025  |  Prepared by FP&amp;A  |  All figures in USD</t>
  </si>
  <si>
    <t xml:space="preserve">FILTERS (use Excel slicers on Raw_Data table for live filtering)</t>
  </si>
  <si>
    <t xml:space="preserve">Month</t>
  </si>
  <si>
    <t xml:space="preserve">Quarter</t>
  </si>
  <si>
    <t xml:space="preserve">Year</t>
  </si>
  <si>
    <t xml:space="preserve">Region</t>
  </si>
  <si>
    <t xml:space="preserve">Department / Product</t>
  </si>
  <si>
    <t xml:space="preserve">TOTAL REVENUE</t>
  </si>
  <si>
    <t xml:space="preserve">GROSS PROFIT</t>
  </si>
  <si>
    <t xml:space="preserve">EBITDA</t>
  </si>
  <si>
    <t xml:space="preserve">NET PROFIT</t>
  </si>
  <si>
    <t xml:space="preserve">GROSS MARGIN %</t>
  </si>
  <si>
    <t xml:space="preserve">NET MARGIN %</t>
  </si>
  <si>
    <t xml:space="preserve">Revenue, Cost &amp; Profitability Trends</t>
  </si>
  <si>
    <t xml:space="preserve">Region, Department &amp; Working Capital Analysis</t>
  </si>
  <si>
    <t xml:space="preserve">Date</t>
  </si>
  <si>
    <t xml:space="preserve">Department</t>
  </si>
  <si>
    <t xml:space="preserve">Product_Category</t>
  </si>
  <si>
    <t xml:space="preserve">Cost_Center</t>
  </si>
  <si>
    <t xml:space="preserve">Revenue</t>
  </si>
  <si>
    <t xml:space="preserve">COGS</t>
  </si>
  <si>
    <t xml:space="preserve">Gross_Profit</t>
  </si>
  <si>
    <t xml:space="preserve">Operating_Expenses</t>
  </si>
  <si>
    <t xml:space="preserve">Depreciation</t>
  </si>
  <si>
    <t xml:space="preserve">Interest_Expense</t>
  </si>
  <si>
    <t xml:space="preserve">Tax_Expense</t>
  </si>
  <si>
    <t xml:space="preserve">Net_Profit</t>
  </si>
  <si>
    <t xml:space="preserve">Gross_Margin_Pct</t>
  </si>
  <si>
    <t xml:space="preserve">EBITDA_Margin_Pct</t>
  </si>
  <si>
    <t xml:space="preserve">Net_Profit_Margin_Pct</t>
  </si>
  <si>
    <t xml:space="preserve">Budgeted_Revenue</t>
  </si>
  <si>
    <t xml:space="preserve">Actual_Revenue</t>
  </si>
  <si>
    <t xml:space="preserve">Budgeted_Expense</t>
  </si>
  <si>
    <t xml:space="preserve">Actual_Expense</t>
  </si>
  <si>
    <t xml:space="preserve">Budget_Variance</t>
  </si>
  <si>
    <t xml:space="preserve">Accounts_Receivable</t>
  </si>
  <si>
    <t xml:space="preserve">Accounts_Payable</t>
  </si>
  <si>
    <t xml:space="preserve">Cash_Balance</t>
  </si>
  <si>
    <t xml:space="preserve">Working_Capital</t>
  </si>
  <si>
    <t xml:space="preserve">Jan</t>
  </si>
  <si>
    <t xml:space="preserve">Q1</t>
  </si>
  <si>
    <t xml:space="preserve">Sales</t>
  </si>
  <si>
    <t xml:space="preserve">North America</t>
  </si>
  <si>
    <t xml:space="preserve">Core Subscription</t>
  </si>
  <si>
    <t xml:space="preserve">SAL-NO-01</t>
  </si>
  <si>
    <t xml:space="preserve">Feb</t>
  </si>
  <si>
    <t xml:space="preserve">Mar</t>
  </si>
  <si>
    <t xml:space="preserve">Apr</t>
  </si>
  <si>
    <t xml:space="preserve">Q2</t>
  </si>
  <si>
    <t xml:space="preserve">May</t>
  </si>
  <si>
    <t xml:space="preserve">Jun</t>
  </si>
  <si>
    <t xml:space="preserve">Jul</t>
  </si>
  <si>
    <t xml:space="preserve">Q3</t>
  </si>
  <si>
    <t xml:space="preserve">Aug</t>
  </si>
  <si>
    <t xml:space="preserve">Sep</t>
  </si>
  <si>
    <t xml:space="preserve">Oct</t>
  </si>
  <si>
    <t xml:space="preserve">Q4</t>
  </si>
  <si>
    <t xml:space="preserve">Nov</t>
  </si>
  <si>
    <t xml:space="preserve">Dec</t>
  </si>
  <si>
    <t xml:space="preserve">Customer Success</t>
  </si>
  <si>
    <t xml:space="preserve">Add-on Services</t>
  </si>
  <si>
    <t xml:space="preserve">CUS-NO-02</t>
  </si>
  <si>
    <t xml:space="preserve">Europe</t>
  </si>
  <si>
    <t xml:space="preserve">SAL-EU-03</t>
  </si>
  <si>
    <t xml:space="preserve">Marketing</t>
  </si>
  <si>
    <t xml:space="preserve">Professional Services</t>
  </si>
  <si>
    <t xml:space="preserve">MAR-EU-04</t>
  </si>
  <si>
    <t xml:space="preserve">APAC</t>
  </si>
  <si>
    <t xml:space="preserve">SAL-AP-05</t>
  </si>
  <si>
    <t xml:space="preserve">Revenue Analysis</t>
  </si>
  <si>
    <t xml:space="preserve">Source: Raw_Data (SUMIFS-driven, recalculates automatically)</t>
  </si>
  <si>
    <t xml:space="preserve">Monthly Revenue Trend</t>
  </si>
  <si>
    <t xml:space="preserve">Actual Revenue</t>
  </si>
  <si>
    <t xml:space="preserve">Budgeted Revenue</t>
  </si>
  <si>
    <t xml:space="preserve">Revenue Variance</t>
  </si>
  <si>
    <t xml:space="preserve">Variance %</t>
  </si>
  <si>
    <t xml:space="preserve">MoM Growth %</t>
  </si>
  <si>
    <t xml:space="preserve">Region-wise Revenue</t>
  </si>
  <si>
    <t xml:space="preserve">Total Revenue</t>
  </si>
  <si>
    <t xml:space="preserve">Contribution %</t>
  </si>
  <si>
    <t xml:space="preserve">Product-wise Revenue</t>
  </si>
  <si>
    <t xml:space="preserve">Product Category</t>
  </si>
  <si>
    <t xml:space="preserve">Department-wise Revenue</t>
  </si>
  <si>
    <t xml:space="preserve">Cost Analysis</t>
  </si>
  <si>
    <t xml:space="preserve">Monthly Cost Trend</t>
  </si>
  <si>
    <t xml:space="preserve">Operating Expenses</t>
  </si>
  <si>
    <t xml:space="preserve">Total Cost</t>
  </si>
  <si>
    <t xml:space="preserve">Cost Growth % MoM</t>
  </si>
  <si>
    <t xml:space="preserve">Department-wise Expenses</t>
  </si>
  <si>
    <t xml:space="preserve">Budget vs Actual Expense (Monthly)</t>
  </si>
  <si>
    <t xml:space="preserve">Actual Expense</t>
  </si>
  <si>
    <t xml:space="preserve">Budgeted Expense</t>
  </si>
  <si>
    <t xml:space="preserve">Variance ($)</t>
  </si>
  <si>
    <t xml:space="preserve">Profitability Analysis</t>
  </si>
  <si>
    <t xml:space="preserve">Monthly Profitability Trend</t>
  </si>
  <si>
    <t xml:space="preserve">Gross Profit</t>
  </si>
  <si>
    <t xml:space="preserve">Net Profit</t>
  </si>
  <si>
    <t xml:space="preserve">Gross Margin %</t>
  </si>
  <si>
    <t xml:space="preserve">EBITDA Margin %</t>
  </si>
  <si>
    <t xml:space="preserve">Net Margin %</t>
  </si>
  <si>
    <t xml:space="preserve">Region-wise Profitability</t>
  </si>
  <si>
    <t xml:space="preserve">Product-wise Profitability</t>
  </si>
  <si>
    <t xml:space="preserve">Budget vs Actual Analysis</t>
  </si>
  <si>
    <t xml:space="preserve">Monthly Variance</t>
  </si>
  <si>
    <t xml:space="preserve">Revenue Variance %</t>
  </si>
  <si>
    <t xml:space="preserve">Expense Variance %</t>
  </si>
  <si>
    <t xml:space="preserve">Status</t>
  </si>
  <si>
    <t xml:space="preserve">Quarterly Variance Summary</t>
  </si>
  <si>
    <t xml:space="preserve">Revenue Variance ($)</t>
  </si>
  <si>
    <t xml:space="preserve">Expense Variance ($)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</si>
  <si>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</si>
  <si>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</si>
  <si>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</si>
  <si>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</si>
  <si>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</si>
  <si>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</si>
  <si>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</si>
  <si>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</si>
  <si>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Department-wise Revenue Variance</t>
  </si>
  <si>
    <t xml:space="preserve">Working Capital Analysis</t>
  </si>
  <si>
    <t xml:space="preserve">Monthly Working Capital &amp; Liquidity</t>
  </si>
  <si>
    <t xml:space="preserve">Accounts Receivable</t>
  </si>
  <si>
    <t xml:space="preserve">Accounts Payable</t>
  </si>
  <si>
    <t xml:space="preserve">Cash Balance</t>
  </si>
  <si>
    <t xml:space="preserve">Working Capital</t>
  </si>
  <si>
    <t xml:space="preserve">DSO (days)</t>
  </si>
  <si>
    <t xml:space="preserve">DPO (days)</t>
  </si>
  <si>
    <t xml:space="preserve">Collection Efficiency (MoM AR change vs Revenue)</t>
  </si>
  <si>
    <t xml:space="preserve">AR Change ($)</t>
  </si>
  <si>
    <t xml:space="preserve">AR as % of Revenue</t>
  </si>
  <si>
    <t xml:space="preserve">KPI Summary — FY2024-FY2025</t>
  </si>
  <si>
    <t xml:space="preserve">All figures aggregate 24 months across Sales, Customer Success and Marketing segments</t>
  </si>
  <si>
    <t xml:space="preserve">Financial KPIs</t>
  </si>
  <si>
    <t xml:space="preserve">KPI</t>
  </si>
  <si>
    <t xml:space="preserve">Value</t>
  </si>
  <si>
    <t xml:space="preserve">Revenue Growth % (Jan24 vs Dec25)</t>
  </si>
  <si>
    <t xml:space="preserve">Net Profit Margin %</t>
  </si>
  <si>
    <t xml:space="preserve">Total Operating Expenses</t>
  </si>
  <si>
    <t xml:space="preserve">Total Budget Variance (Revenue, $)</t>
  </si>
  <si>
    <t xml:space="preserve">Cash Balance (latest month)</t>
  </si>
  <si>
    <t xml:space="preserve">Working Capital (latest month)</t>
  </si>
  <si>
    <t xml:space="preserve">Accounts Receivable (latest month)</t>
  </si>
  <si>
    <t xml:space="preserve">Accounts Payable (latest month)</t>
  </si>
  <si>
    <t xml:space="preserve">DSO - Days Sales Outstanding (latest)</t>
  </si>
  <si>
    <t xml:space="preserve">DPO - Days Payable Outstanding (latest)</t>
  </si>
  <si>
    <t xml:space="preserve">Return on Sales (Net Profit/Revenue)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</si>
</sst>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"/>
    <numFmt numFmtId="166" formatCode="0.0%"/>
    <numFmt numFmtId="167" formatCode="yyyy\-mm\-dd"/>
    <numFmt numFmtId="168" formatCode="mmm\-yyyy"/>
    <numFmt numFmtId="169" formatCode="0.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11"/>
      <color rgb="FFD9E1F2"/>
      <name val="Arial"/>
      <family val="0"/>
      <charset val="1"/>
    </font>
    <font>
      <b val="true"/>
      <sz val="9"/>
      <color rgb="FF7F6000"/>
      <name val="Arial"/>
      <family val="0"/>
      <charset val="1"/>
    </font>
    <font>
      <i val="true"/>
      <sz val="9"/>
      <color rgb="FF7F6000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7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b val="true"/>
      <sz val="13"/>
      <color rgb="FF1F386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EAF0FB"/>
      </patternFill>
    </fill>
    <fill>
      <patternFill patternType="solid">
        <fgColor rgb="FFEAF0FB"/>
        <bgColor rgb="FFD9E1F2"/>
      </patternFill>
    </fill>
    <fill>
      <patternFill patternType="solid">
        <fgColor rgb="FF2E5395"/>
        <bgColor rgb="FF1F3864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1F3864"/>
      </left>
      <right style="medium">
        <color rgb="FF1F3864"/>
      </right>
      <top style="medium">
        <color rgb="FF1F3864"/>
      </top>
      <bottom/>
      <diagonal/>
    </border>
    <border diagonalUp="false" diagonalDown="false">
      <left style="medium">
        <color rgb="FF1F3864"/>
      </left>
      <right style="medium">
        <color rgb="FF1F3864"/>
      </right>
      <top/>
      <bottom style="medium">
        <color rgb="FF1F3864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BE4B48"/>
      <rgbColor rgb="FFFFF2CC"/>
      <rgbColor rgb="FFEAF0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595959"/>
      <rgbColor rgb="FF878787"/>
      <rgbColor rgb="FF1F3864"/>
      <rgbColor rgb="FF4F81BD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Revenue: Actual vs Budget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Revenue_Analysis!B5</c:f>
              <c:strCache>
                <c:ptCount val="1"/>
                <c:pt idx="0">
                  <c:v>Actual Revenue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4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Revenue_Analysis!$A$6:$A$29</c:f>
              <c:strCache>
                <c:ptCount val="24"/>
                <c:pt idx="0">
                  <c:v>Jan-2024</c:v>
                </c:pt>
                <c:pt idx="1">
                  <c:v>Feb-2024</c:v>
                </c:pt>
                <c:pt idx="2">
                  <c:v>Mar-2024</c:v>
                </c:pt>
                <c:pt idx="3">
                  <c:v>Apr-2024</c:v>
                </c:pt>
                <c:pt idx="4">
                  <c:v>May-2024</c:v>
                </c:pt>
                <c:pt idx="5">
                  <c:v>Jun-2024</c:v>
                </c:pt>
                <c:pt idx="6">
                  <c:v>Jul-2024</c:v>
                </c:pt>
                <c:pt idx="7">
                  <c:v>Aug-2024</c:v>
                </c:pt>
                <c:pt idx="8">
                  <c:v>Sep-2024</c:v>
                </c:pt>
                <c:pt idx="9">
                  <c:v>Oct-2024</c:v>
                </c:pt>
                <c:pt idx="10">
                  <c:v>Nov-2024</c:v>
                </c:pt>
                <c:pt idx="11">
                  <c:v>Dec-2024</c:v>
                </c:pt>
                <c:pt idx="12">
                  <c:v>Jan-2025</c:v>
                </c:pt>
                <c:pt idx="13">
                  <c:v>Feb-2025</c:v>
                </c:pt>
                <c:pt idx="14">
                  <c:v>Mar-2025</c:v>
                </c:pt>
                <c:pt idx="15">
                  <c:v>Apr-2025</c:v>
                </c:pt>
                <c:pt idx="16">
                  <c:v>May-2025</c:v>
                </c:pt>
                <c:pt idx="17">
                  <c:v>Jun-2025</c:v>
                </c:pt>
                <c:pt idx="18">
                  <c:v>Jul-2025</c:v>
                </c:pt>
                <c:pt idx="19">
                  <c:v>Aug-2025</c:v>
                </c:pt>
                <c:pt idx="20">
                  <c:v>Sep-2025</c:v>
                </c:pt>
                <c:pt idx="21">
                  <c:v>Oct-2025</c:v>
                </c:pt>
                <c:pt idx="22">
                  <c:v>Nov-2025</c:v>
                </c:pt>
                <c:pt idx="23">
                  <c:v>Dec-2025</c:v>
                </c:pt>
              </c:strCache>
            </c:strRef>
          </c:cat>
          <c:val>
            <c:numRef>
              <c:f>Revenue_Analysis!$B$6:$B$29</c:f>
              <c:numCache>
                <c:formatCode>\$#,##0;"($"#,##0\)</c:formatCode>
                <c:ptCount val="24"/>
                <c:pt idx="0">
                  <c:v>504838.69</c:v>
                </c:pt>
                <c:pt idx="1">
                  <c:v>524248.16</c:v>
                </c:pt>
                <c:pt idx="2">
                  <c:v>525250.21</c:v>
                </c:pt>
                <c:pt idx="3">
                  <c:v>532310.19</c:v>
                </c:pt>
                <c:pt idx="4">
                  <c:v>566263.09</c:v>
                </c:pt>
                <c:pt idx="5">
                  <c:v>564664.02</c:v>
                </c:pt>
                <c:pt idx="6">
                  <c:v>548537.48</c:v>
                </c:pt>
                <c:pt idx="7">
                  <c:v>578593.82</c:v>
                </c:pt>
                <c:pt idx="8">
                  <c:v>589255.99</c:v>
                </c:pt>
                <c:pt idx="9">
                  <c:v>566698.07</c:v>
                </c:pt>
                <c:pt idx="10">
                  <c:v>582586.05</c:v>
                </c:pt>
                <c:pt idx="11">
                  <c:v>621348.63</c:v>
                </c:pt>
                <c:pt idx="12">
                  <c:v>581590.94</c:v>
                </c:pt>
                <c:pt idx="13">
                  <c:v>660368.68</c:v>
                </c:pt>
                <c:pt idx="14">
                  <c:v>644227.84</c:v>
                </c:pt>
                <c:pt idx="15">
                  <c:v>646964.36</c:v>
                </c:pt>
                <c:pt idx="16">
                  <c:v>653692.22</c:v>
                </c:pt>
                <c:pt idx="17">
                  <c:v>649479.01</c:v>
                </c:pt>
                <c:pt idx="18">
                  <c:v>662175.02</c:v>
                </c:pt>
                <c:pt idx="19">
                  <c:v>656380.77</c:v>
                </c:pt>
                <c:pt idx="20">
                  <c:v>669244.23</c:v>
                </c:pt>
                <c:pt idx="21">
                  <c:v>684185.2</c:v>
                </c:pt>
                <c:pt idx="22">
                  <c:v>674913.09</c:v>
                </c:pt>
                <c:pt idx="23">
                  <c:v>714236.57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Revenue_Analysis!C5</c:f>
              <c:strCache>
                <c:ptCount val="1"/>
                <c:pt idx="0">
                  <c:v>Budgeted Revenue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circle"/>
            <c:size val="4"/>
            <c:spPr>
              <a:solidFill>
                <a:srgbClr val="be4b4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Revenue_Analysis!$A$6:$A$29</c:f>
              <c:strCache>
                <c:ptCount val="24"/>
                <c:pt idx="0">
                  <c:v>Jan-2024</c:v>
                </c:pt>
                <c:pt idx="1">
                  <c:v>Feb-2024</c:v>
                </c:pt>
                <c:pt idx="2">
                  <c:v>Mar-2024</c:v>
                </c:pt>
                <c:pt idx="3">
                  <c:v>Apr-2024</c:v>
                </c:pt>
                <c:pt idx="4">
                  <c:v>May-2024</c:v>
                </c:pt>
                <c:pt idx="5">
                  <c:v>Jun-2024</c:v>
                </c:pt>
                <c:pt idx="6">
                  <c:v>Jul-2024</c:v>
                </c:pt>
                <c:pt idx="7">
                  <c:v>Aug-2024</c:v>
                </c:pt>
                <c:pt idx="8">
                  <c:v>Sep-2024</c:v>
                </c:pt>
                <c:pt idx="9">
                  <c:v>Oct-2024</c:v>
                </c:pt>
                <c:pt idx="10">
                  <c:v>Nov-2024</c:v>
                </c:pt>
                <c:pt idx="11">
                  <c:v>Dec-2024</c:v>
                </c:pt>
                <c:pt idx="12">
                  <c:v>Jan-2025</c:v>
                </c:pt>
                <c:pt idx="13">
                  <c:v>Feb-2025</c:v>
                </c:pt>
                <c:pt idx="14">
                  <c:v>Mar-2025</c:v>
                </c:pt>
                <c:pt idx="15">
                  <c:v>Apr-2025</c:v>
                </c:pt>
                <c:pt idx="16">
                  <c:v>May-2025</c:v>
                </c:pt>
                <c:pt idx="17">
                  <c:v>Jun-2025</c:v>
                </c:pt>
                <c:pt idx="18">
                  <c:v>Jul-2025</c:v>
                </c:pt>
                <c:pt idx="19">
                  <c:v>Aug-2025</c:v>
                </c:pt>
                <c:pt idx="20">
                  <c:v>Sep-2025</c:v>
                </c:pt>
                <c:pt idx="21">
                  <c:v>Oct-2025</c:v>
                </c:pt>
                <c:pt idx="22">
                  <c:v>Nov-2025</c:v>
                </c:pt>
                <c:pt idx="23">
                  <c:v>Dec-2025</c:v>
                </c:pt>
              </c:strCache>
            </c:strRef>
          </c:cat>
          <c:val>
            <c:numRef>
              <c:f>Revenue_Analysis!$C$6:$C$29</c:f>
              <c:numCache>
                <c:formatCode>\$#,##0;"($"#,##0\)</c:formatCode>
                <c:ptCount val="24"/>
                <c:pt idx="0">
                  <c:v>526000</c:v>
                </c:pt>
                <c:pt idx="1">
                  <c:v>532823</c:v>
                </c:pt>
                <c:pt idx="2">
                  <c:v>539740.74</c:v>
                </c:pt>
                <c:pt idx="3">
                  <c:v>546754.65</c:v>
                </c:pt>
                <c:pt idx="4">
                  <c:v>553866.1</c:v>
                </c:pt>
                <c:pt idx="5">
                  <c:v>561076.56</c:v>
                </c:pt>
                <c:pt idx="6">
                  <c:v>568387.51</c:v>
                </c:pt>
                <c:pt idx="7">
                  <c:v>575800.41</c:v>
                </c:pt>
                <c:pt idx="8">
                  <c:v>583316.78</c:v>
                </c:pt>
                <c:pt idx="9">
                  <c:v>590938.16</c:v>
                </c:pt>
                <c:pt idx="10">
                  <c:v>598666.1</c:v>
                </c:pt>
                <c:pt idx="11">
                  <c:v>606502.2</c:v>
                </c:pt>
                <c:pt idx="12">
                  <c:v>614448.06</c:v>
                </c:pt>
                <c:pt idx="13">
                  <c:v>622505.3</c:v>
                </c:pt>
                <c:pt idx="14">
                  <c:v>630675.59</c:v>
                </c:pt>
                <c:pt idx="15">
                  <c:v>638960.61</c:v>
                </c:pt>
                <c:pt idx="16">
                  <c:v>647362.09</c:v>
                </c:pt>
                <c:pt idx="17">
                  <c:v>655881.72</c:v>
                </c:pt>
                <c:pt idx="18">
                  <c:v>664521.32</c:v>
                </c:pt>
                <c:pt idx="19">
                  <c:v>673282.67</c:v>
                </c:pt>
                <c:pt idx="20">
                  <c:v>682167.56</c:v>
                </c:pt>
                <c:pt idx="21">
                  <c:v>691177.87</c:v>
                </c:pt>
                <c:pt idx="22">
                  <c:v>700315.47</c:v>
                </c:pt>
                <c:pt idx="23">
                  <c:v>709582.28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7371992"/>
        <c:axId val="53437446"/>
      </c:lineChart>
      <c:catAx>
        <c:axId val="8737199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m\-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437446"/>
        <c:crosses val="autoZero"/>
        <c:auto val="1"/>
        <c:lblAlgn val="ctr"/>
        <c:lblOffset val="100"/>
        <c:noMultiLvlLbl val="0"/>
      </c:catAx>
      <c:valAx>
        <c:axId val="534374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3719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Profitability Trend (Gross Profit, EBITDA, Net Profit)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Profitability!B4</c:f>
              <c:strCache>
                <c:ptCount val="1"/>
                <c:pt idx="0">
                  <c:v>Gross Profit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Profitability!$A$5:$A$28</c:f>
              <c:strCache>
                <c:ptCount val="24"/>
                <c:pt idx="0">
                  <c:v>Jan-2024</c:v>
                </c:pt>
                <c:pt idx="1">
                  <c:v>Feb-2024</c:v>
                </c:pt>
                <c:pt idx="2">
                  <c:v>Mar-2024</c:v>
                </c:pt>
                <c:pt idx="3">
                  <c:v>Apr-2024</c:v>
                </c:pt>
                <c:pt idx="4">
                  <c:v>May-2024</c:v>
                </c:pt>
                <c:pt idx="5">
                  <c:v>Jun-2024</c:v>
                </c:pt>
                <c:pt idx="6">
                  <c:v>Jul-2024</c:v>
                </c:pt>
                <c:pt idx="7">
                  <c:v>Aug-2024</c:v>
                </c:pt>
                <c:pt idx="8">
                  <c:v>Sep-2024</c:v>
                </c:pt>
                <c:pt idx="9">
                  <c:v>Oct-2024</c:v>
                </c:pt>
                <c:pt idx="10">
                  <c:v>Nov-2024</c:v>
                </c:pt>
                <c:pt idx="11">
                  <c:v>Dec-2024</c:v>
                </c:pt>
                <c:pt idx="12">
                  <c:v>Jan-2025</c:v>
                </c:pt>
                <c:pt idx="13">
                  <c:v>Feb-2025</c:v>
                </c:pt>
                <c:pt idx="14">
                  <c:v>Mar-2025</c:v>
                </c:pt>
                <c:pt idx="15">
                  <c:v>Apr-2025</c:v>
                </c:pt>
                <c:pt idx="16">
                  <c:v>May-2025</c:v>
                </c:pt>
                <c:pt idx="17">
                  <c:v>Jun-2025</c:v>
                </c:pt>
                <c:pt idx="18">
                  <c:v>Jul-2025</c:v>
                </c:pt>
                <c:pt idx="19">
                  <c:v>Aug-2025</c:v>
                </c:pt>
                <c:pt idx="20">
                  <c:v>Sep-2025</c:v>
                </c:pt>
                <c:pt idx="21">
                  <c:v>Oct-2025</c:v>
                </c:pt>
                <c:pt idx="22">
                  <c:v>Nov-2025</c:v>
                </c:pt>
                <c:pt idx="23">
                  <c:v>Dec-2025</c:v>
                </c:pt>
              </c:strCache>
            </c:strRef>
          </c:cat>
          <c:val>
            <c:numRef>
              <c:f>Profitability!$B$5:$B$28</c:f>
              <c:numCache>
                <c:formatCode>\$#,##0;"($"#,##0\)</c:formatCode>
                <c:ptCount val="24"/>
                <c:pt idx="0">
                  <c:v>362346.6</c:v>
                </c:pt>
                <c:pt idx="1">
                  <c:v>382536.84</c:v>
                </c:pt>
                <c:pt idx="2">
                  <c:v>384361.72</c:v>
                </c:pt>
                <c:pt idx="3">
                  <c:v>392886.91</c:v>
                </c:pt>
                <c:pt idx="4">
                  <c:v>411898.73</c:v>
                </c:pt>
                <c:pt idx="5">
                  <c:v>409257.31</c:v>
                </c:pt>
                <c:pt idx="6">
                  <c:v>395710.24</c:v>
                </c:pt>
                <c:pt idx="7">
                  <c:v>413269.38</c:v>
                </c:pt>
                <c:pt idx="8">
                  <c:v>431195.32</c:v>
                </c:pt>
                <c:pt idx="9">
                  <c:v>413580.5</c:v>
                </c:pt>
                <c:pt idx="10">
                  <c:v>426846.19</c:v>
                </c:pt>
                <c:pt idx="11">
                  <c:v>454802.26</c:v>
                </c:pt>
                <c:pt idx="12">
                  <c:v>433146.73</c:v>
                </c:pt>
                <c:pt idx="13">
                  <c:v>476932.32</c:v>
                </c:pt>
                <c:pt idx="14">
                  <c:v>459275.22</c:v>
                </c:pt>
                <c:pt idx="15">
                  <c:v>463932</c:v>
                </c:pt>
                <c:pt idx="16">
                  <c:v>479273.41</c:v>
                </c:pt>
                <c:pt idx="17">
                  <c:v>483957.77</c:v>
                </c:pt>
                <c:pt idx="18">
                  <c:v>482607.34</c:v>
                </c:pt>
                <c:pt idx="19">
                  <c:v>477997.41</c:v>
                </c:pt>
                <c:pt idx="20">
                  <c:v>487480.27</c:v>
                </c:pt>
                <c:pt idx="21">
                  <c:v>487146.4</c:v>
                </c:pt>
                <c:pt idx="22">
                  <c:v>490279.17</c:v>
                </c:pt>
                <c:pt idx="23">
                  <c:v>520783.86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Profitability!C4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Profitability!$A$5:$A$28</c:f>
              <c:strCache>
                <c:ptCount val="24"/>
                <c:pt idx="0">
                  <c:v>Jan-2024</c:v>
                </c:pt>
                <c:pt idx="1">
                  <c:v>Feb-2024</c:v>
                </c:pt>
                <c:pt idx="2">
                  <c:v>Mar-2024</c:v>
                </c:pt>
                <c:pt idx="3">
                  <c:v>Apr-2024</c:v>
                </c:pt>
                <c:pt idx="4">
                  <c:v>May-2024</c:v>
                </c:pt>
                <c:pt idx="5">
                  <c:v>Jun-2024</c:v>
                </c:pt>
                <c:pt idx="6">
                  <c:v>Jul-2024</c:v>
                </c:pt>
                <c:pt idx="7">
                  <c:v>Aug-2024</c:v>
                </c:pt>
                <c:pt idx="8">
                  <c:v>Sep-2024</c:v>
                </c:pt>
                <c:pt idx="9">
                  <c:v>Oct-2024</c:v>
                </c:pt>
                <c:pt idx="10">
                  <c:v>Nov-2024</c:v>
                </c:pt>
                <c:pt idx="11">
                  <c:v>Dec-2024</c:v>
                </c:pt>
                <c:pt idx="12">
                  <c:v>Jan-2025</c:v>
                </c:pt>
                <c:pt idx="13">
                  <c:v>Feb-2025</c:v>
                </c:pt>
                <c:pt idx="14">
                  <c:v>Mar-2025</c:v>
                </c:pt>
                <c:pt idx="15">
                  <c:v>Apr-2025</c:v>
                </c:pt>
                <c:pt idx="16">
                  <c:v>May-2025</c:v>
                </c:pt>
                <c:pt idx="17">
                  <c:v>Jun-2025</c:v>
                </c:pt>
                <c:pt idx="18">
                  <c:v>Jul-2025</c:v>
                </c:pt>
                <c:pt idx="19">
                  <c:v>Aug-2025</c:v>
                </c:pt>
                <c:pt idx="20">
                  <c:v>Sep-2025</c:v>
                </c:pt>
                <c:pt idx="21">
                  <c:v>Oct-2025</c:v>
                </c:pt>
                <c:pt idx="22">
                  <c:v>Nov-2025</c:v>
                </c:pt>
                <c:pt idx="23">
                  <c:v>Dec-2025</c:v>
                </c:pt>
              </c:strCache>
            </c:strRef>
          </c:cat>
          <c:val>
            <c:numRef>
              <c:f>Profitability!$C$5:$C$28</c:f>
              <c:numCache>
                <c:formatCode>\$#,##0;"($"#,##0\)</c:formatCode>
                <c:ptCount val="24"/>
                <c:pt idx="0">
                  <c:v>203558.38</c:v>
                </c:pt>
                <c:pt idx="1">
                  <c:v>219977.14</c:v>
                </c:pt>
                <c:pt idx="2">
                  <c:v>220391.04</c:v>
                </c:pt>
                <c:pt idx="3">
                  <c:v>230127.28</c:v>
                </c:pt>
                <c:pt idx="4">
                  <c:v>257375.06</c:v>
                </c:pt>
                <c:pt idx="5">
                  <c:v>242819.6</c:v>
                </c:pt>
                <c:pt idx="6">
                  <c:v>222138.65</c:v>
                </c:pt>
                <c:pt idx="7">
                  <c:v>244981.9</c:v>
                </c:pt>
                <c:pt idx="8">
                  <c:v>251104.78</c:v>
                </c:pt>
                <c:pt idx="9">
                  <c:v>239327.79</c:v>
                </c:pt>
                <c:pt idx="10">
                  <c:v>238569.08</c:v>
                </c:pt>
                <c:pt idx="11">
                  <c:v>274575.87</c:v>
                </c:pt>
                <c:pt idx="12">
                  <c:v>249119.35</c:v>
                </c:pt>
                <c:pt idx="13">
                  <c:v>293122.62</c:v>
                </c:pt>
                <c:pt idx="14">
                  <c:v>269527.04</c:v>
                </c:pt>
                <c:pt idx="15">
                  <c:v>279172.54</c:v>
                </c:pt>
                <c:pt idx="16">
                  <c:v>277953.42</c:v>
                </c:pt>
                <c:pt idx="17">
                  <c:v>295161.53</c:v>
                </c:pt>
                <c:pt idx="18">
                  <c:v>287431.06</c:v>
                </c:pt>
                <c:pt idx="19">
                  <c:v>282188.07</c:v>
                </c:pt>
                <c:pt idx="20">
                  <c:v>270431.35</c:v>
                </c:pt>
                <c:pt idx="21">
                  <c:v>283871.68</c:v>
                </c:pt>
                <c:pt idx="22">
                  <c:v>283836.88</c:v>
                </c:pt>
                <c:pt idx="23">
                  <c:v>325355.69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Profitability!D4</c:f>
              <c:strCache>
                <c:ptCount val="1"/>
                <c:pt idx="0">
                  <c:v>Net Profit</c:v>
                </c:pt>
              </c:strCache>
            </c:strRef>
          </c:tx>
          <c:spPr>
            <a:solidFill>
              <a:srgbClr val="98b855"/>
            </a:solidFill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Profitability!$A$5:$A$28</c:f>
              <c:strCache>
                <c:ptCount val="24"/>
                <c:pt idx="0">
                  <c:v>Jan-2024</c:v>
                </c:pt>
                <c:pt idx="1">
                  <c:v>Feb-2024</c:v>
                </c:pt>
                <c:pt idx="2">
                  <c:v>Mar-2024</c:v>
                </c:pt>
                <c:pt idx="3">
                  <c:v>Apr-2024</c:v>
                </c:pt>
                <c:pt idx="4">
                  <c:v>May-2024</c:v>
                </c:pt>
                <c:pt idx="5">
                  <c:v>Jun-2024</c:v>
                </c:pt>
                <c:pt idx="6">
                  <c:v>Jul-2024</c:v>
                </c:pt>
                <c:pt idx="7">
                  <c:v>Aug-2024</c:v>
                </c:pt>
                <c:pt idx="8">
                  <c:v>Sep-2024</c:v>
                </c:pt>
                <c:pt idx="9">
                  <c:v>Oct-2024</c:v>
                </c:pt>
                <c:pt idx="10">
                  <c:v>Nov-2024</c:v>
                </c:pt>
                <c:pt idx="11">
                  <c:v>Dec-2024</c:v>
                </c:pt>
                <c:pt idx="12">
                  <c:v>Jan-2025</c:v>
                </c:pt>
                <c:pt idx="13">
                  <c:v>Feb-2025</c:v>
                </c:pt>
                <c:pt idx="14">
                  <c:v>Mar-2025</c:v>
                </c:pt>
                <c:pt idx="15">
                  <c:v>Apr-2025</c:v>
                </c:pt>
                <c:pt idx="16">
                  <c:v>May-2025</c:v>
                </c:pt>
                <c:pt idx="17">
                  <c:v>Jun-2025</c:v>
                </c:pt>
                <c:pt idx="18">
                  <c:v>Jul-2025</c:v>
                </c:pt>
                <c:pt idx="19">
                  <c:v>Aug-2025</c:v>
                </c:pt>
                <c:pt idx="20">
                  <c:v>Sep-2025</c:v>
                </c:pt>
                <c:pt idx="21">
                  <c:v>Oct-2025</c:v>
                </c:pt>
                <c:pt idx="22">
                  <c:v>Nov-2025</c:v>
                </c:pt>
                <c:pt idx="23">
                  <c:v>Dec-2025</c:v>
                </c:pt>
              </c:strCache>
            </c:strRef>
          </c:cat>
          <c:val>
            <c:numRef>
              <c:f>Profitability!$D$5:$D$28</c:f>
              <c:numCache>
                <c:formatCode>\$#,##0;"($"#,##0\)</c:formatCode>
                <c:ptCount val="24"/>
                <c:pt idx="0">
                  <c:v>124209.54</c:v>
                </c:pt>
                <c:pt idx="1">
                  <c:v>139088.64</c:v>
                </c:pt>
                <c:pt idx="2">
                  <c:v>139300.54</c:v>
                </c:pt>
                <c:pt idx="3">
                  <c:v>147854.86</c:v>
                </c:pt>
                <c:pt idx="4">
                  <c:v>167455.66</c:v>
                </c:pt>
                <c:pt idx="5">
                  <c:v>157221.63</c:v>
                </c:pt>
                <c:pt idx="6">
                  <c:v>140928.15</c:v>
                </c:pt>
                <c:pt idx="7">
                  <c:v>155252.16</c:v>
                </c:pt>
                <c:pt idx="8">
                  <c:v>162799.75</c:v>
                </c:pt>
                <c:pt idx="9">
                  <c:v>153975.16</c:v>
                </c:pt>
                <c:pt idx="10">
                  <c:v>153951.83</c:v>
                </c:pt>
                <c:pt idx="11">
                  <c:v>183185.58</c:v>
                </c:pt>
                <c:pt idx="12">
                  <c:v>160196.87</c:v>
                </c:pt>
                <c:pt idx="13">
                  <c:v>192537.22</c:v>
                </c:pt>
                <c:pt idx="14">
                  <c:v>172987.59</c:v>
                </c:pt>
                <c:pt idx="15">
                  <c:v>182288.45</c:v>
                </c:pt>
                <c:pt idx="16">
                  <c:v>179247.15</c:v>
                </c:pt>
                <c:pt idx="17">
                  <c:v>194023.96</c:v>
                </c:pt>
                <c:pt idx="18">
                  <c:v>189752.62</c:v>
                </c:pt>
                <c:pt idx="19">
                  <c:v>187169.5</c:v>
                </c:pt>
                <c:pt idx="20">
                  <c:v>176576.88</c:v>
                </c:pt>
                <c:pt idx="21">
                  <c:v>182739.48</c:v>
                </c:pt>
                <c:pt idx="22">
                  <c:v>182595.4</c:v>
                </c:pt>
                <c:pt idx="23">
                  <c:v>214192.59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3476129"/>
        <c:axId val="30871671"/>
      </c:lineChart>
      <c:catAx>
        <c:axId val="9347612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m\-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871671"/>
        <c:crosses val="autoZero"/>
        <c:auto val="1"/>
        <c:lblAlgn val="ctr"/>
        <c:lblOffset val="100"/>
        <c:noMultiLvlLbl val="0"/>
      </c:catAx>
      <c:valAx>
        <c:axId val="308716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47612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Region-wise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Revenue_Analysis!$A$34:$A$36</c:f>
              <c:strCache>
                <c:ptCount val="3"/>
                <c:pt idx="0">
                  <c:v>North America</c:v>
                </c:pt>
                <c:pt idx="1">
                  <c:v>Europe</c:v>
                </c:pt>
                <c:pt idx="2">
                  <c:v>APAC</c:v>
                </c:pt>
              </c:strCache>
            </c:strRef>
          </c:cat>
          <c:val>
            <c:numRef>
              <c:f>Revenue_Analysis!$B$35:$B$36</c:f>
              <c:numCache>
                <c:formatCode>\$#,##0;"($"#,##0\)</c:formatCode>
                <c:ptCount val="2"/>
                <c:pt idx="0">
                  <c:v>5009856.76</c:v>
                </c:pt>
                <c:pt idx="1">
                  <c:v>2710378.54</c:v>
                </c:pt>
              </c:numCache>
            </c:numRef>
          </c:val>
        </c:ser>
        <c:gapWidth val="150"/>
        <c:overlap val="0"/>
        <c:axId val="42659751"/>
        <c:axId val="16087427"/>
      </c:barChart>
      <c:catAx>
        <c:axId val="42659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087427"/>
        <c:crosses val="autoZero"/>
        <c:auto val="1"/>
        <c:lblAlgn val="ctr"/>
        <c:lblOffset val="100"/>
        <c:noMultiLvlLbl val="0"/>
      </c:catAx>
      <c:valAx>
        <c:axId val="160874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65975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Department-wise Total Cost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Cost_Analysis!$A$34:$A$35</c:f>
              <c:strCache>
                <c:ptCount val="2"/>
                <c:pt idx="0">
                  <c:v>Customer Success</c:v>
                </c:pt>
                <c:pt idx="1">
                  <c:v>Marketing</c:v>
                </c:pt>
              </c:strCache>
            </c:strRef>
          </c:cat>
          <c:val>
            <c:numRef>
              <c:f>Cost_Analysis!$D$34:$D$35</c:f>
              <c:numCache>
                <c:formatCode>\$#,##0;"($"#,##0\)</c:formatCode>
                <c:ptCount val="2"/>
                <c:pt idx="0">
                  <c:v>985420.14</c:v>
                </c:pt>
                <c:pt idx="1">
                  <c:v>1012786</c:v>
                </c:pt>
              </c:numCache>
            </c:numRef>
          </c:val>
        </c:ser>
        <c:gapWidth val="150"/>
        <c:overlap val="0"/>
        <c:axId val="14534569"/>
        <c:axId val="37955760"/>
      </c:barChart>
      <c:catAx>
        <c:axId val="1453456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955760"/>
        <c:crosses val="autoZero"/>
        <c:auto val="1"/>
        <c:lblAlgn val="ctr"/>
        <c:lblOffset val="100"/>
        <c:noMultiLvlLbl val="0"/>
      </c:catAx>
      <c:valAx>
        <c:axId val="379557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53456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Product-wise Net Profit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Profitability!$A$41:$A$42</c:f>
              <c:strCache>
                <c:ptCount val="2"/>
                <c:pt idx="0">
                  <c:v>Add-on Services</c:v>
                </c:pt>
                <c:pt idx="1">
                  <c:v>Professional Services</c:v>
                </c:pt>
              </c:strCache>
            </c:strRef>
          </c:cat>
          <c:val>
            <c:numRef>
              <c:f>Profitability!$D$41:$D$42</c:f>
              <c:numCache>
                <c:formatCode>\$#,##0;"($"#,##0\)</c:formatCode>
                <c:ptCount val="2"/>
                <c:pt idx="0">
                  <c:v>399292.12</c:v>
                </c:pt>
                <c:pt idx="1">
                  <c:v>42335.44</c:v>
                </c:pt>
              </c:numCache>
            </c:numRef>
          </c:val>
        </c:ser>
        <c:gapWidth val="150"/>
        <c:overlap val="0"/>
        <c:axId val="36292595"/>
        <c:axId val="96257448"/>
      </c:barChart>
      <c:catAx>
        <c:axId val="362925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257448"/>
        <c:crosses val="autoZero"/>
        <c:auto val="1"/>
        <c:lblAlgn val="ctr"/>
        <c:lblOffset val="100"/>
        <c:noMultiLvlLbl val="0"/>
      </c:catAx>
      <c:valAx>
        <c:axId val="962574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29259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Working Capital, AR &amp; AP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Working_Capital!B4</c:f>
              <c:strCache>
                <c:ptCount val="1"/>
                <c:pt idx="0">
                  <c:v>Accounts Receivable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Working_Capital!$A$5:$A$28</c:f>
              <c:strCache>
                <c:ptCount val="24"/>
                <c:pt idx="0">
                  <c:v>Jan-2024</c:v>
                </c:pt>
                <c:pt idx="1">
                  <c:v>Feb-2024</c:v>
                </c:pt>
                <c:pt idx="2">
                  <c:v>Mar-2024</c:v>
                </c:pt>
                <c:pt idx="3">
                  <c:v>Apr-2024</c:v>
                </c:pt>
                <c:pt idx="4">
                  <c:v>May-2024</c:v>
                </c:pt>
                <c:pt idx="5">
                  <c:v>Jun-2024</c:v>
                </c:pt>
                <c:pt idx="6">
                  <c:v>Jul-2024</c:v>
                </c:pt>
                <c:pt idx="7">
                  <c:v>Aug-2024</c:v>
                </c:pt>
                <c:pt idx="8">
                  <c:v>Sep-2024</c:v>
                </c:pt>
                <c:pt idx="9">
                  <c:v>Oct-2024</c:v>
                </c:pt>
                <c:pt idx="10">
                  <c:v>Nov-2024</c:v>
                </c:pt>
                <c:pt idx="11">
                  <c:v>Dec-2024</c:v>
                </c:pt>
                <c:pt idx="12">
                  <c:v>Jan-2025</c:v>
                </c:pt>
                <c:pt idx="13">
                  <c:v>Feb-2025</c:v>
                </c:pt>
                <c:pt idx="14">
                  <c:v>Mar-2025</c:v>
                </c:pt>
                <c:pt idx="15">
                  <c:v>Apr-2025</c:v>
                </c:pt>
                <c:pt idx="16">
                  <c:v>May-2025</c:v>
                </c:pt>
                <c:pt idx="17">
                  <c:v>Jun-2025</c:v>
                </c:pt>
                <c:pt idx="18">
                  <c:v>Jul-2025</c:v>
                </c:pt>
                <c:pt idx="19">
                  <c:v>Aug-2025</c:v>
                </c:pt>
                <c:pt idx="20">
                  <c:v>Sep-2025</c:v>
                </c:pt>
                <c:pt idx="21">
                  <c:v>Oct-2025</c:v>
                </c:pt>
                <c:pt idx="22">
                  <c:v>Nov-2025</c:v>
                </c:pt>
                <c:pt idx="23">
                  <c:v>Dec-2025</c:v>
                </c:pt>
              </c:strCache>
            </c:strRef>
          </c:cat>
          <c:val>
            <c:numRef>
              <c:f>Working_Capital!$B$5:$B$28</c:f>
              <c:numCache>
                <c:formatCode>\$#,##0;"($"#,##0\)</c:formatCode>
                <c:ptCount val="24"/>
                <c:pt idx="0">
                  <c:v>769023.38</c:v>
                </c:pt>
                <c:pt idx="1">
                  <c:v>781434.88</c:v>
                </c:pt>
                <c:pt idx="2">
                  <c:v>797888.76</c:v>
                </c:pt>
                <c:pt idx="3">
                  <c:v>817565.94</c:v>
                </c:pt>
                <c:pt idx="4">
                  <c:v>863544.6</c:v>
                </c:pt>
                <c:pt idx="5">
                  <c:v>862117.26</c:v>
                </c:pt>
                <c:pt idx="6">
                  <c:v>827846.21</c:v>
                </c:pt>
                <c:pt idx="7">
                  <c:v>875385.37</c:v>
                </c:pt>
                <c:pt idx="8">
                  <c:v>890394.33</c:v>
                </c:pt>
                <c:pt idx="9">
                  <c:v>832360.06</c:v>
                </c:pt>
                <c:pt idx="10">
                  <c:v>887025.67</c:v>
                </c:pt>
                <c:pt idx="11">
                  <c:v>921224.53</c:v>
                </c:pt>
                <c:pt idx="12">
                  <c:v>890745.93</c:v>
                </c:pt>
                <c:pt idx="13">
                  <c:v>988546.68</c:v>
                </c:pt>
                <c:pt idx="14">
                  <c:v>968664.07</c:v>
                </c:pt>
                <c:pt idx="15">
                  <c:v>998922.9</c:v>
                </c:pt>
                <c:pt idx="16">
                  <c:v>994966.68</c:v>
                </c:pt>
                <c:pt idx="17">
                  <c:v>985083.41</c:v>
                </c:pt>
                <c:pt idx="18">
                  <c:v>1015525.81</c:v>
                </c:pt>
                <c:pt idx="19">
                  <c:v>994867.52</c:v>
                </c:pt>
                <c:pt idx="20">
                  <c:v>1004742.32</c:v>
                </c:pt>
                <c:pt idx="21">
                  <c:v>1009039.16</c:v>
                </c:pt>
                <c:pt idx="22">
                  <c:v>1038388.23</c:v>
                </c:pt>
                <c:pt idx="23">
                  <c:v>1082342.41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Working_Capital!C4</c:f>
              <c:strCache>
                <c:ptCount val="1"/>
                <c:pt idx="0">
                  <c:v>Accounts Payable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Working_Capital!$A$5:$A$28</c:f>
              <c:strCache>
                <c:ptCount val="24"/>
                <c:pt idx="0">
                  <c:v>Jan-2024</c:v>
                </c:pt>
                <c:pt idx="1">
                  <c:v>Feb-2024</c:v>
                </c:pt>
                <c:pt idx="2">
                  <c:v>Mar-2024</c:v>
                </c:pt>
                <c:pt idx="3">
                  <c:v>Apr-2024</c:v>
                </c:pt>
                <c:pt idx="4">
                  <c:v>May-2024</c:v>
                </c:pt>
                <c:pt idx="5">
                  <c:v>Jun-2024</c:v>
                </c:pt>
                <c:pt idx="6">
                  <c:v>Jul-2024</c:v>
                </c:pt>
                <c:pt idx="7">
                  <c:v>Aug-2024</c:v>
                </c:pt>
                <c:pt idx="8">
                  <c:v>Sep-2024</c:v>
                </c:pt>
                <c:pt idx="9">
                  <c:v>Oct-2024</c:v>
                </c:pt>
                <c:pt idx="10">
                  <c:v>Nov-2024</c:v>
                </c:pt>
                <c:pt idx="11">
                  <c:v>Dec-2024</c:v>
                </c:pt>
                <c:pt idx="12">
                  <c:v>Jan-2025</c:v>
                </c:pt>
                <c:pt idx="13">
                  <c:v>Feb-2025</c:v>
                </c:pt>
                <c:pt idx="14">
                  <c:v>Mar-2025</c:v>
                </c:pt>
                <c:pt idx="15">
                  <c:v>Apr-2025</c:v>
                </c:pt>
                <c:pt idx="16">
                  <c:v>May-2025</c:v>
                </c:pt>
                <c:pt idx="17">
                  <c:v>Jun-2025</c:v>
                </c:pt>
                <c:pt idx="18">
                  <c:v>Jul-2025</c:v>
                </c:pt>
                <c:pt idx="19">
                  <c:v>Aug-2025</c:v>
                </c:pt>
                <c:pt idx="20">
                  <c:v>Sep-2025</c:v>
                </c:pt>
                <c:pt idx="21">
                  <c:v>Oct-2025</c:v>
                </c:pt>
                <c:pt idx="22">
                  <c:v>Nov-2025</c:v>
                </c:pt>
                <c:pt idx="23">
                  <c:v>Dec-2025</c:v>
                </c:pt>
              </c:strCache>
            </c:strRef>
          </c:cat>
          <c:val>
            <c:numRef>
              <c:f>Working_Capital!$C$5:$C$28</c:f>
              <c:numCache>
                <c:formatCode>\$#,##0;"($"#,##0\)</c:formatCode>
                <c:ptCount val="24"/>
                <c:pt idx="0">
                  <c:v>181828.49</c:v>
                </c:pt>
                <c:pt idx="1">
                  <c:v>187793.68</c:v>
                </c:pt>
                <c:pt idx="2">
                  <c:v>187533.68</c:v>
                </c:pt>
                <c:pt idx="3">
                  <c:v>190418.46</c:v>
                </c:pt>
                <c:pt idx="4">
                  <c:v>178662.85</c:v>
                </c:pt>
                <c:pt idx="5">
                  <c:v>194757.16</c:v>
                </c:pt>
                <c:pt idx="6">
                  <c:v>205092.82</c:v>
                </c:pt>
                <c:pt idx="7">
                  <c:v>199370.32</c:v>
                </c:pt>
                <c:pt idx="8">
                  <c:v>214419.39</c:v>
                </c:pt>
                <c:pt idx="9">
                  <c:v>200275.75</c:v>
                </c:pt>
                <c:pt idx="10">
                  <c:v>219530.7</c:v>
                </c:pt>
                <c:pt idx="11">
                  <c:v>209937.75</c:v>
                </c:pt>
                <c:pt idx="12">
                  <c:v>215373.11</c:v>
                </c:pt>
                <c:pt idx="13">
                  <c:v>216134.94</c:v>
                </c:pt>
                <c:pt idx="14">
                  <c:v>218112.29</c:v>
                </c:pt>
                <c:pt idx="15">
                  <c:v>223901.95</c:v>
                </c:pt>
                <c:pt idx="16">
                  <c:v>234296.85</c:v>
                </c:pt>
                <c:pt idx="17">
                  <c:v>218673.24</c:v>
                </c:pt>
                <c:pt idx="18">
                  <c:v>231092.36</c:v>
                </c:pt>
                <c:pt idx="19">
                  <c:v>223985.82</c:v>
                </c:pt>
                <c:pt idx="20">
                  <c:v>256318.17</c:v>
                </c:pt>
                <c:pt idx="21">
                  <c:v>237466.08</c:v>
                </c:pt>
                <c:pt idx="22">
                  <c:v>244592.92</c:v>
                </c:pt>
                <c:pt idx="23">
                  <c:v>223019.35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Working_Capital!E4</c:f>
              <c:strCache>
                <c:ptCount val="1"/>
                <c:pt idx="0">
                  <c:v>Working Capital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Working_Capital!$A$5:$A$28</c:f>
              <c:strCache>
                <c:ptCount val="24"/>
                <c:pt idx="0">
                  <c:v>Jan-2024</c:v>
                </c:pt>
                <c:pt idx="1">
                  <c:v>Feb-2024</c:v>
                </c:pt>
                <c:pt idx="2">
                  <c:v>Mar-2024</c:v>
                </c:pt>
                <c:pt idx="3">
                  <c:v>Apr-2024</c:v>
                </c:pt>
                <c:pt idx="4">
                  <c:v>May-2024</c:v>
                </c:pt>
                <c:pt idx="5">
                  <c:v>Jun-2024</c:v>
                </c:pt>
                <c:pt idx="6">
                  <c:v>Jul-2024</c:v>
                </c:pt>
                <c:pt idx="7">
                  <c:v>Aug-2024</c:v>
                </c:pt>
                <c:pt idx="8">
                  <c:v>Sep-2024</c:v>
                </c:pt>
                <c:pt idx="9">
                  <c:v>Oct-2024</c:v>
                </c:pt>
                <c:pt idx="10">
                  <c:v>Nov-2024</c:v>
                </c:pt>
                <c:pt idx="11">
                  <c:v>Dec-2024</c:v>
                </c:pt>
                <c:pt idx="12">
                  <c:v>Jan-2025</c:v>
                </c:pt>
                <c:pt idx="13">
                  <c:v>Feb-2025</c:v>
                </c:pt>
                <c:pt idx="14">
                  <c:v>Mar-2025</c:v>
                </c:pt>
                <c:pt idx="15">
                  <c:v>Apr-2025</c:v>
                </c:pt>
                <c:pt idx="16">
                  <c:v>May-2025</c:v>
                </c:pt>
                <c:pt idx="17">
                  <c:v>Jun-2025</c:v>
                </c:pt>
                <c:pt idx="18">
                  <c:v>Jul-2025</c:v>
                </c:pt>
                <c:pt idx="19">
                  <c:v>Aug-2025</c:v>
                </c:pt>
                <c:pt idx="20">
                  <c:v>Sep-2025</c:v>
                </c:pt>
                <c:pt idx="21">
                  <c:v>Oct-2025</c:v>
                </c:pt>
                <c:pt idx="22">
                  <c:v>Nov-2025</c:v>
                </c:pt>
                <c:pt idx="23">
                  <c:v>Dec-2025</c:v>
                </c:pt>
              </c:strCache>
            </c:strRef>
          </c:cat>
          <c:val>
            <c:numRef>
              <c:f>Working_Capital!$E$5:$E$28</c:f>
              <c:numCache>
                <c:formatCode>\$#,##0;"($"#,##0\)</c:formatCode>
                <c:ptCount val="24"/>
                <c:pt idx="0">
                  <c:v>587194.89</c:v>
                </c:pt>
                <c:pt idx="1">
                  <c:v>593641.2</c:v>
                </c:pt>
                <c:pt idx="2">
                  <c:v>610355.08</c:v>
                </c:pt>
                <c:pt idx="3">
                  <c:v>627147.48</c:v>
                </c:pt>
                <c:pt idx="4">
                  <c:v>684881.75</c:v>
                </c:pt>
                <c:pt idx="5">
                  <c:v>667360.1</c:v>
                </c:pt>
                <c:pt idx="6">
                  <c:v>622753.39</c:v>
                </c:pt>
                <c:pt idx="7">
                  <c:v>676015.05</c:v>
                </c:pt>
                <c:pt idx="8">
                  <c:v>675974.94</c:v>
                </c:pt>
                <c:pt idx="9">
                  <c:v>632084.31</c:v>
                </c:pt>
                <c:pt idx="10">
                  <c:v>667494.97</c:v>
                </c:pt>
                <c:pt idx="11">
                  <c:v>711286.78</c:v>
                </c:pt>
                <c:pt idx="12">
                  <c:v>675372.82</c:v>
                </c:pt>
                <c:pt idx="13">
                  <c:v>772411.74</c:v>
                </c:pt>
                <c:pt idx="14">
                  <c:v>750551.78</c:v>
                </c:pt>
                <c:pt idx="15">
                  <c:v>775020.95</c:v>
                </c:pt>
                <c:pt idx="16">
                  <c:v>760669.83</c:v>
                </c:pt>
                <c:pt idx="17">
                  <c:v>766410.17</c:v>
                </c:pt>
                <c:pt idx="18">
                  <c:v>784433.45</c:v>
                </c:pt>
                <c:pt idx="19">
                  <c:v>770881.7</c:v>
                </c:pt>
                <c:pt idx="20">
                  <c:v>748424.15</c:v>
                </c:pt>
                <c:pt idx="21">
                  <c:v>771573.08</c:v>
                </c:pt>
                <c:pt idx="22">
                  <c:v>793795.31</c:v>
                </c:pt>
                <c:pt idx="23">
                  <c:v>859323.06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0734395"/>
        <c:axId val="80854054"/>
      </c:lineChart>
      <c:catAx>
        <c:axId val="7073439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m\-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854054"/>
        <c:crosses val="autoZero"/>
        <c:auto val="1"/>
        <c:lblAlgn val="ctr"/>
        <c:lblOffset val="100"/>
        <c:noMultiLvlLbl val="0"/>
      </c:catAx>
      <c:valAx>
        <c:axId val="808540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73439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0</xdr:rowOff>
    </xdr:from>
    <xdr:to>
      <xdr:col>7</xdr:col>
      <xdr:colOff>332280</xdr:colOff>
      <xdr:row>25</xdr:row>
      <xdr:rowOff>22320</xdr:rowOff>
    </xdr:to>
    <xdr:graphicFrame>
      <xdr:nvGraphicFramePr>
        <xdr:cNvPr id="0" name="Chart 1"/>
        <xdr:cNvGraphicFramePr/>
      </xdr:nvGraphicFramePr>
      <xdr:xfrm>
        <a:off x="0" y="22766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10</xdr:row>
      <xdr:rowOff>0</xdr:rowOff>
    </xdr:from>
    <xdr:to>
      <xdr:col>15</xdr:col>
      <xdr:colOff>48600</xdr:colOff>
      <xdr:row>25</xdr:row>
      <xdr:rowOff>22320</xdr:rowOff>
    </xdr:to>
    <xdr:graphicFrame>
      <xdr:nvGraphicFramePr>
        <xdr:cNvPr id="1" name="Chart 2"/>
        <xdr:cNvGraphicFramePr/>
      </xdr:nvGraphicFramePr>
      <xdr:xfrm>
        <a:off x="5427360" y="22766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29</xdr:row>
      <xdr:rowOff>0</xdr:rowOff>
    </xdr:from>
    <xdr:to>
      <xdr:col>4</xdr:col>
      <xdr:colOff>498240</xdr:colOff>
      <xdr:row>44</xdr:row>
      <xdr:rowOff>22320</xdr:rowOff>
    </xdr:to>
    <xdr:graphicFrame>
      <xdr:nvGraphicFramePr>
        <xdr:cNvPr id="2" name="Chart 3"/>
        <xdr:cNvGraphicFramePr/>
      </xdr:nvGraphicFramePr>
      <xdr:xfrm>
        <a:off x="0" y="5896080"/>
        <a:ext cx="35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29</xdr:row>
      <xdr:rowOff>0</xdr:rowOff>
    </xdr:from>
    <xdr:to>
      <xdr:col>9</xdr:col>
      <xdr:colOff>498600</xdr:colOff>
      <xdr:row>44</xdr:row>
      <xdr:rowOff>22320</xdr:rowOff>
    </xdr:to>
    <xdr:graphicFrame>
      <xdr:nvGraphicFramePr>
        <xdr:cNvPr id="3" name="Chart 4"/>
        <xdr:cNvGraphicFramePr/>
      </xdr:nvGraphicFramePr>
      <xdr:xfrm>
        <a:off x="3876840" y="5896080"/>
        <a:ext cx="35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10</xdr:col>
      <xdr:colOff>0</xdr:colOff>
      <xdr:row>29</xdr:row>
      <xdr:rowOff>0</xdr:rowOff>
    </xdr:from>
    <xdr:to>
      <xdr:col>15</xdr:col>
      <xdr:colOff>214560</xdr:colOff>
      <xdr:row>44</xdr:row>
      <xdr:rowOff>22320</xdr:rowOff>
    </xdr:to>
    <xdr:graphicFrame>
      <xdr:nvGraphicFramePr>
        <xdr:cNvPr id="4" name="Chart 5"/>
        <xdr:cNvGraphicFramePr/>
      </xdr:nvGraphicFramePr>
      <xdr:xfrm>
        <a:off x="7753320" y="5896080"/>
        <a:ext cx="35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0</xdr:colOff>
      <xdr:row>46</xdr:row>
      <xdr:rowOff>0</xdr:rowOff>
    </xdr:from>
    <xdr:to>
      <xdr:col>7</xdr:col>
      <xdr:colOff>332280</xdr:colOff>
      <xdr:row>61</xdr:row>
      <xdr:rowOff>22320</xdr:rowOff>
    </xdr:to>
    <xdr:graphicFrame>
      <xdr:nvGraphicFramePr>
        <xdr:cNvPr id="5" name="Chart 6"/>
        <xdr:cNvGraphicFramePr/>
      </xdr:nvGraphicFramePr>
      <xdr:xfrm>
        <a:off x="0" y="91346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1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15" hidden="false" customHeight="false" outlineLevel="0" collapsed="false">
      <c r="A4" s="3" t="s">
        <v>2</v>
      </c>
      <c r="B4" s="4"/>
      <c r="C4" s="4"/>
      <c r="D4" s="4"/>
      <c r="E4" s="4"/>
    </row>
    <row r="5" customFormat="false" ht="15" hidden="false" customHeight="fals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</row>
    <row r="7" customFormat="false" ht="15.75" hidden="false" customHeight="true" outlineLevel="0" collapsed="false">
      <c r="A7" s="6" t="s">
        <v>8</v>
      </c>
      <c r="B7" s="6"/>
      <c r="C7" s="6" t="s">
        <v>9</v>
      </c>
      <c r="D7" s="6"/>
      <c r="E7" s="6" t="s">
        <v>10</v>
      </c>
      <c r="F7" s="6"/>
      <c r="G7" s="6" t="s">
        <v>11</v>
      </c>
      <c r="H7" s="6"/>
      <c r="I7" s="6" t="s">
        <v>12</v>
      </c>
      <c r="J7" s="6"/>
      <c r="K7" s="6" t="s">
        <v>13</v>
      </c>
      <c r="L7" s="6"/>
    </row>
    <row r="8" customFormat="false" ht="25.5" hidden="false" customHeight="true" outlineLevel="0" collapsed="false">
      <c r="A8" s="7" t="n">
        <f aca="false">KPI_Summary!B6</f>
        <v>14602052.33</v>
      </c>
      <c r="B8" s="7"/>
      <c r="C8" s="7" t="n">
        <f aca="false">KPI_Summary!B8</f>
        <v>10621503.9</v>
      </c>
      <c r="D8" s="7"/>
      <c r="E8" s="7" t="n">
        <f aca="false">KPI_Summary!B10</f>
        <v>6242117.8</v>
      </c>
      <c r="F8" s="7"/>
      <c r="G8" s="7" t="n">
        <f aca="false">KPI_Summary!B12</f>
        <v>4039531.21</v>
      </c>
      <c r="H8" s="7"/>
      <c r="I8" s="8" t="n">
        <f aca="false">KPI_Summary!B9</f>
        <v>0.72739801638555</v>
      </c>
      <c r="J8" s="8"/>
      <c r="K8" s="8" t="n">
        <f aca="false">KPI_Summary!B13</f>
        <v>0.276641332239357</v>
      </c>
      <c r="L8" s="8"/>
    </row>
    <row r="10" customFormat="false" ht="15" hidden="false" customHeight="false" outlineLevel="0" collapsed="false">
      <c r="A10" s="9" t="s">
        <v>14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</row>
    <row r="29" customFormat="false" ht="15" hidden="false" customHeight="false" outlineLevel="0" collapsed="false">
      <c r="A29" s="9" t="s">
        <v>15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</row>
  </sheetData>
  <mergeCells count="14">
    <mergeCell ref="A1:N1"/>
    <mergeCell ref="A2:N2"/>
    <mergeCell ref="A7:B7"/>
    <mergeCell ref="C7:D7"/>
    <mergeCell ref="E7:F7"/>
    <mergeCell ref="G7:H7"/>
    <mergeCell ref="I7:J7"/>
    <mergeCell ref="K7:L7"/>
    <mergeCell ref="A8:B8"/>
    <mergeCell ref="C8:D8"/>
    <mergeCell ref="E8:F8"/>
    <mergeCell ref="G8:H8"/>
    <mergeCell ref="I8:J8"/>
    <mergeCell ref="K8:L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6"/>
    <col collapsed="false" customWidth="true" hidden="false" outlineLevel="0" max="3" min="3" style="0" width="7"/>
    <col collapsed="false" customWidth="true" hidden="false" outlineLevel="0" max="4" min="4" style="0" width="6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7" min="7" style="0" width="17"/>
    <col collapsed="false" customWidth="true" hidden="false" outlineLevel="0" max="8" min="8" style="0" width="12"/>
    <col collapsed="false" customWidth="true" hidden="false" outlineLevel="0" max="11" min="9" style="0" width="11"/>
    <col collapsed="false" customWidth="true" hidden="false" outlineLevel="0" max="12" min="12" style="0" width="13"/>
    <col collapsed="false" customWidth="true" hidden="false" outlineLevel="0" max="14" min="13" style="0" width="11"/>
    <col collapsed="false" customWidth="true" hidden="false" outlineLevel="0" max="15" min="15" style="0" width="12"/>
    <col collapsed="false" customWidth="true" hidden="false" outlineLevel="0" max="17" min="16" style="0" width="11"/>
    <col collapsed="false" customWidth="true" hidden="false" outlineLevel="0" max="20" min="18" style="0" width="10"/>
    <col collapsed="false" customWidth="true" hidden="false" outlineLevel="0" max="24" min="21" style="0" width="12"/>
    <col collapsed="false" customWidth="true" hidden="false" outlineLevel="0" max="25" min="25" style="0" width="11"/>
    <col collapsed="false" customWidth="true" hidden="false" outlineLevel="0" max="27" min="26" style="0" width="13"/>
    <col collapsed="false" customWidth="true" hidden="false" outlineLevel="0" max="28" min="28" style="0" width="12"/>
    <col collapsed="false" customWidth="true" hidden="false" outlineLevel="0" max="29" min="29" style="0" width="13"/>
  </cols>
  <sheetData>
    <row r="1" customFormat="false" ht="30" hidden="false" customHeight="true" outlineLevel="0" collapsed="false">
      <c r="A1" s="10" t="s">
        <v>16</v>
      </c>
      <c r="B1" s="10" t="s">
        <v>3</v>
      </c>
      <c r="C1" s="10" t="s">
        <v>4</v>
      </c>
      <c r="D1" s="10" t="s">
        <v>5</v>
      </c>
      <c r="E1" s="10" t="s">
        <v>17</v>
      </c>
      <c r="F1" s="10" t="s">
        <v>6</v>
      </c>
      <c r="G1" s="10" t="s">
        <v>18</v>
      </c>
      <c r="H1" s="10" t="s">
        <v>19</v>
      </c>
      <c r="I1" s="10" t="s">
        <v>20</v>
      </c>
      <c r="J1" s="10" t="s">
        <v>21</v>
      </c>
      <c r="K1" s="10" t="s">
        <v>22</v>
      </c>
      <c r="L1" s="10" t="s">
        <v>23</v>
      </c>
      <c r="M1" s="10" t="s">
        <v>10</v>
      </c>
      <c r="N1" s="10" t="s">
        <v>24</v>
      </c>
      <c r="O1" s="10" t="s">
        <v>25</v>
      </c>
      <c r="P1" s="10" t="s">
        <v>26</v>
      </c>
      <c r="Q1" s="10" t="s">
        <v>27</v>
      </c>
      <c r="R1" s="10" t="s">
        <v>28</v>
      </c>
      <c r="S1" s="10" t="s">
        <v>29</v>
      </c>
      <c r="T1" s="10" t="s">
        <v>30</v>
      </c>
      <c r="U1" s="10" t="s">
        <v>31</v>
      </c>
      <c r="V1" s="10" t="s">
        <v>32</v>
      </c>
      <c r="W1" s="10" t="s">
        <v>33</v>
      </c>
      <c r="X1" s="10" t="s">
        <v>34</v>
      </c>
      <c r="Y1" s="10" t="s">
        <v>35</v>
      </c>
      <c r="Z1" s="10" t="s">
        <v>36</v>
      </c>
      <c r="AA1" s="10" t="s">
        <v>37</v>
      </c>
      <c r="AB1" s="10" t="s">
        <v>38</v>
      </c>
      <c r="AC1" s="10" t="s">
        <v>39</v>
      </c>
    </row>
    <row r="2" customFormat="false" ht="15" hidden="false" customHeight="false" outlineLevel="0" collapsed="false">
      <c r="A2" s="11" t="n">
        <v>45292</v>
      </c>
      <c r="B2" s="12" t="s">
        <v>40</v>
      </c>
      <c r="C2" s="12" t="s">
        <v>41</v>
      </c>
      <c r="D2" s="12" t="n">
        <v>2024</v>
      </c>
      <c r="E2" s="12" t="s">
        <v>42</v>
      </c>
      <c r="F2" s="12" t="s">
        <v>43</v>
      </c>
      <c r="G2" s="12" t="s">
        <v>44</v>
      </c>
      <c r="H2" s="12" t="s">
        <v>45</v>
      </c>
      <c r="I2" s="13" t="n">
        <v>193060.07</v>
      </c>
      <c r="J2" s="13" t="n">
        <v>42957.87</v>
      </c>
      <c r="K2" s="14" t="n">
        <f aca="false">I2-J2</f>
        <v>150102.2</v>
      </c>
      <c r="L2" s="13" t="n">
        <v>57877.15</v>
      </c>
      <c r="M2" s="14" t="n">
        <f aca="false">K2-L2</f>
        <v>92225.05</v>
      </c>
      <c r="N2" s="13" t="n">
        <v>6757.1</v>
      </c>
      <c r="O2" s="13" t="n">
        <v>4100.78</v>
      </c>
      <c r="P2" s="13" t="n">
        <v>19528.12</v>
      </c>
      <c r="Q2" s="14" t="n">
        <f aca="false">M2-N2-O2-P2</f>
        <v>61839.05</v>
      </c>
      <c r="R2" s="15" t="n">
        <f aca="false">IFERROR(K2/I2,0)</f>
        <v>0.77748961760969</v>
      </c>
      <c r="S2" s="15" t="n">
        <f aca="false">IFERROR(M2/I2,0)</f>
        <v>0.477701318558519</v>
      </c>
      <c r="T2" s="15" t="n">
        <f aca="false">IFERROR(Q2/I2,0)</f>
        <v>0.320309891113165</v>
      </c>
      <c r="U2" s="13" t="n">
        <v>185000</v>
      </c>
      <c r="V2" s="14" t="n">
        <f aca="false">I2</f>
        <v>193060.07</v>
      </c>
      <c r="W2" s="13" t="n">
        <v>96200</v>
      </c>
      <c r="X2" s="14" t="n">
        <f aca="false">J2+L2</f>
        <v>100835.02</v>
      </c>
      <c r="Y2" s="14" t="n">
        <f aca="false">V2-U2</f>
        <v>8060.07000000001</v>
      </c>
      <c r="Z2" s="13" t="n">
        <v>280884.09</v>
      </c>
      <c r="AA2" s="13" t="n">
        <v>61035.12</v>
      </c>
      <c r="AB2" s="13" t="n">
        <v>231075.74</v>
      </c>
      <c r="AC2" s="14" t="n">
        <f aca="false">Z2-AA2</f>
        <v>219848.97</v>
      </c>
    </row>
    <row r="3" customFormat="false" ht="15" hidden="false" customHeight="false" outlineLevel="0" collapsed="false">
      <c r="A3" s="11" t="n">
        <v>45323</v>
      </c>
      <c r="B3" s="12" t="s">
        <v>46</v>
      </c>
      <c r="C3" s="12" t="s">
        <v>41</v>
      </c>
      <c r="D3" s="12" t="n">
        <v>2024</v>
      </c>
      <c r="E3" s="12" t="s">
        <v>42</v>
      </c>
      <c r="F3" s="12" t="s">
        <v>43</v>
      </c>
      <c r="G3" s="12" t="s">
        <v>44</v>
      </c>
      <c r="H3" s="12" t="s">
        <v>45</v>
      </c>
      <c r="I3" s="13" t="n">
        <v>188785.64</v>
      </c>
      <c r="J3" s="13" t="n">
        <v>42409.93</v>
      </c>
      <c r="K3" s="14" t="n">
        <f aca="false">I3-J3</f>
        <v>146375.71</v>
      </c>
      <c r="L3" s="13" t="n">
        <v>61239.74</v>
      </c>
      <c r="M3" s="14" t="n">
        <f aca="false">K3-L3</f>
        <v>85135.97</v>
      </c>
      <c r="N3" s="13" t="n">
        <v>6607.5</v>
      </c>
      <c r="O3" s="13" t="n">
        <v>4009.61</v>
      </c>
      <c r="P3" s="13" t="n">
        <v>17884.53</v>
      </c>
      <c r="Q3" s="14" t="n">
        <f aca="false">M3-N3-O3-P3</f>
        <v>56634.33</v>
      </c>
      <c r="R3" s="15" t="n">
        <f aca="false">IFERROR(K3/I3,0)</f>
        <v>0.775354047055698</v>
      </c>
      <c r="S3" s="15" t="n">
        <f aca="false">IFERROR(M3/I3,0)</f>
        <v>0.450966344685963</v>
      </c>
      <c r="T3" s="15" t="n">
        <f aca="false">IFERROR(Q3/I3,0)</f>
        <v>0.299992785468217</v>
      </c>
      <c r="U3" s="13" t="n">
        <v>187590</v>
      </c>
      <c r="V3" s="14" t="n">
        <f aca="false">I3</f>
        <v>188785.64</v>
      </c>
      <c r="W3" s="13" t="n">
        <v>97546.8</v>
      </c>
      <c r="X3" s="14" t="n">
        <f aca="false">J3+L3</f>
        <v>103649.67</v>
      </c>
      <c r="Y3" s="14" t="n">
        <f aca="false">V3-U3</f>
        <v>1195.64000000001</v>
      </c>
      <c r="Z3" s="13" t="n">
        <v>265487.7</v>
      </c>
      <c r="AA3" s="13" t="n">
        <v>65480.5</v>
      </c>
      <c r="AB3" s="13" t="n">
        <v>232510.76</v>
      </c>
      <c r="AC3" s="14" t="n">
        <f aca="false">Z3-AA3</f>
        <v>200007.2</v>
      </c>
    </row>
    <row r="4" customFormat="false" ht="15" hidden="false" customHeight="false" outlineLevel="0" collapsed="false">
      <c r="A4" s="11" t="n">
        <v>45352</v>
      </c>
      <c r="B4" s="12" t="s">
        <v>47</v>
      </c>
      <c r="C4" s="12" t="s">
        <v>41</v>
      </c>
      <c r="D4" s="12" t="n">
        <v>2024</v>
      </c>
      <c r="E4" s="12" t="s">
        <v>42</v>
      </c>
      <c r="F4" s="12" t="s">
        <v>43</v>
      </c>
      <c r="G4" s="12" t="s">
        <v>44</v>
      </c>
      <c r="H4" s="12" t="s">
        <v>45</v>
      </c>
      <c r="I4" s="13" t="n">
        <v>174085.32</v>
      </c>
      <c r="J4" s="13" t="n">
        <v>34926.55</v>
      </c>
      <c r="K4" s="14" t="n">
        <f aca="false">I4-J4</f>
        <v>139158.77</v>
      </c>
      <c r="L4" s="13" t="n">
        <v>64017.78</v>
      </c>
      <c r="M4" s="14" t="n">
        <f aca="false">K4-L4</f>
        <v>75140.99</v>
      </c>
      <c r="N4" s="13" t="n">
        <v>6092.99</v>
      </c>
      <c r="O4" s="13" t="n">
        <v>4173.67</v>
      </c>
      <c r="P4" s="13" t="n">
        <v>15569.84</v>
      </c>
      <c r="Q4" s="14" t="n">
        <f aca="false">M4-N4-O4-P4</f>
        <v>49304.49</v>
      </c>
      <c r="R4" s="15" t="n">
        <f aca="false">IFERROR(K4/I4,0)</f>
        <v>0.799371078503345</v>
      </c>
      <c r="S4" s="15" t="n">
        <f aca="false">IFERROR(M4/I4,0)</f>
        <v>0.431633121046623</v>
      </c>
      <c r="T4" s="15" t="n">
        <f aca="false">IFERROR(Q4/I4,0)</f>
        <v>0.283220262340328</v>
      </c>
      <c r="U4" s="13" t="n">
        <v>190216.26</v>
      </c>
      <c r="V4" s="14" t="n">
        <f aca="false">I4</f>
        <v>174085.32</v>
      </c>
      <c r="W4" s="13" t="n">
        <v>98912.46</v>
      </c>
      <c r="X4" s="14" t="n">
        <f aca="false">J4+L4</f>
        <v>98944.33</v>
      </c>
      <c r="Y4" s="14" t="n">
        <f aca="false">V4-U4</f>
        <v>-16130.94</v>
      </c>
      <c r="Z4" s="13" t="n">
        <v>239826.04</v>
      </c>
      <c r="AA4" s="13" t="n">
        <v>67993.46</v>
      </c>
      <c r="AB4" s="13" t="n">
        <v>237502.32</v>
      </c>
      <c r="AC4" s="14" t="n">
        <f aca="false">Z4-AA4</f>
        <v>171832.58</v>
      </c>
    </row>
    <row r="5" customFormat="false" ht="15" hidden="false" customHeight="false" outlineLevel="0" collapsed="false">
      <c r="A5" s="11" t="n">
        <v>45383</v>
      </c>
      <c r="B5" s="12" t="s">
        <v>48</v>
      </c>
      <c r="C5" s="12" t="s">
        <v>49</v>
      </c>
      <c r="D5" s="12" t="n">
        <v>2024</v>
      </c>
      <c r="E5" s="12" t="s">
        <v>42</v>
      </c>
      <c r="F5" s="12" t="s">
        <v>43</v>
      </c>
      <c r="G5" s="12" t="s">
        <v>44</v>
      </c>
      <c r="H5" s="12" t="s">
        <v>45</v>
      </c>
      <c r="I5" s="13" t="n">
        <v>190326.6</v>
      </c>
      <c r="J5" s="13" t="n">
        <v>43305.39</v>
      </c>
      <c r="K5" s="14" t="n">
        <f aca="false">I5-J5</f>
        <v>147021.21</v>
      </c>
      <c r="L5" s="13" t="n">
        <v>59511.55</v>
      </c>
      <c r="M5" s="14" t="n">
        <f aca="false">K5-L5</f>
        <v>87509.66</v>
      </c>
      <c r="N5" s="13" t="n">
        <v>6661.43</v>
      </c>
      <c r="O5" s="13" t="n">
        <v>4544.24</v>
      </c>
      <c r="P5" s="13" t="n">
        <v>18312.96</v>
      </c>
      <c r="Q5" s="14" t="n">
        <f aca="false">M5-N5-O5-P5</f>
        <v>57991.03</v>
      </c>
      <c r="R5" s="15" t="n">
        <f aca="false">IFERROR(K5/I5,0)</f>
        <v>0.772468010251851</v>
      </c>
      <c r="S5" s="15" t="n">
        <f aca="false">IFERROR(M5/I5,0)</f>
        <v>0.459786808570111</v>
      </c>
      <c r="T5" s="15" t="n">
        <f aca="false">IFERROR(Q5/I5,0)</f>
        <v>0.30469219751732</v>
      </c>
      <c r="U5" s="13" t="n">
        <v>192879.29</v>
      </c>
      <c r="V5" s="14" t="n">
        <f aca="false">I5</f>
        <v>190326.6</v>
      </c>
      <c r="W5" s="13" t="n">
        <v>100297.23</v>
      </c>
      <c r="X5" s="14" t="n">
        <f aca="false">J5+L5</f>
        <v>102816.94</v>
      </c>
      <c r="Y5" s="14" t="n">
        <f aca="false">V5-U5</f>
        <v>-2552.69</v>
      </c>
      <c r="Z5" s="13" t="n">
        <v>272578.61</v>
      </c>
      <c r="AA5" s="13" t="n">
        <v>65699.86</v>
      </c>
      <c r="AB5" s="13" t="n">
        <v>233164.47</v>
      </c>
      <c r="AC5" s="14" t="n">
        <f aca="false">Z5-AA5</f>
        <v>206878.75</v>
      </c>
    </row>
    <row r="6" customFormat="false" ht="15" hidden="false" customHeight="false" outlineLevel="0" collapsed="false">
      <c r="A6" s="11" t="n">
        <v>45413</v>
      </c>
      <c r="B6" s="12" t="s">
        <v>50</v>
      </c>
      <c r="C6" s="12" t="s">
        <v>49</v>
      </c>
      <c r="D6" s="12" t="n">
        <v>2024</v>
      </c>
      <c r="E6" s="12" t="s">
        <v>42</v>
      </c>
      <c r="F6" s="12" t="s">
        <v>43</v>
      </c>
      <c r="G6" s="12" t="s">
        <v>44</v>
      </c>
      <c r="H6" s="12" t="s">
        <v>45</v>
      </c>
      <c r="I6" s="13" t="n">
        <v>205922.22</v>
      </c>
      <c r="J6" s="13" t="n">
        <v>44627.56</v>
      </c>
      <c r="K6" s="14" t="n">
        <f aca="false">I6-J6</f>
        <v>161294.66</v>
      </c>
      <c r="L6" s="13" t="n">
        <v>51238.73</v>
      </c>
      <c r="M6" s="14" t="n">
        <f aca="false">K6-L6</f>
        <v>110055.93</v>
      </c>
      <c r="N6" s="13" t="n">
        <v>7207.28</v>
      </c>
      <c r="O6" s="13" t="n">
        <v>3902.97</v>
      </c>
      <c r="P6" s="13" t="n">
        <v>23746.96</v>
      </c>
      <c r="Q6" s="14" t="n">
        <f aca="false">M6-N6-O6-P6</f>
        <v>75198.72</v>
      </c>
      <c r="R6" s="15" t="n">
        <f aca="false">IFERROR(K6/I6,0)</f>
        <v>0.783279531465813</v>
      </c>
      <c r="S6" s="15" t="n">
        <f aca="false">IFERROR(M6/I6,0)</f>
        <v>0.534453882635881</v>
      </c>
      <c r="T6" s="15" t="n">
        <f aca="false">IFERROR(Q6/I6,0)</f>
        <v>0.365180212217992</v>
      </c>
      <c r="U6" s="13" t="n">
        <v>195579.6</v>
      </c>
      <c r="V6" s="14" t="n">
        <f aca="false">I6</f>
        <v>205922.22</v>
      </c>
      <c r="W6" s="13" t="n">
        <v>101701.39</v>
      </c>
      <c r="X6" s="14" t="n">
        <f aca="false">J6+L6</f>
        <v>95866.29</v>
      </c>
      <c r="Y6" s="14" t="n">
        <f aca="false">V6-U6</f>
        <v>10342.62</v>
      </c>
      <c r="Z6" s="13" t="n">
        <v>298718.8</v>
      </c>
      <c r="AA6" s="13" t="n">
        <v>56798.58</v>
      </c>
      <c r="AB6" s="13" t="n">
        <v>233694.95</v>
      </c>
      <c r="AC6" s="14" t="n">
        <f aca="false">Z6-AA6</f>
        <v>241920.22</v>
      </c>
    </row>
    <row r="7" customFormat="false" ht="15" hidden="false" customHeight="false" outlineLevel="0" collapsed="false">
      <c r="A7" s="11" t="n">
        <v>45444</v>
      </c>
      <c r="B7" s="12" t="s">
        <v>51</v>
      </c>
      <c r="C7" s="12" t="s">
        <v>49</v>
      </c>
      <c r="D7" s="12" t="n">
        <v>2024</v>
      </c>
      <c r="E7" s="12" t="s">
        <v>42</v>
      </c>
      <c r="F7" s="12" t="s">
        <v>43</v>
      </c>
      <c r="G7" s="12" t="s">
        <v>44</v>
      </c>
      <c r="H7" s="12" t="s">
        <v>45</v>
      </c>
      <c r="I7" s="13" t="n">
        <v>195112.01</v>
      </c>
      <c r="J7" s="13" t="n">
        <v>43371.14</v>
      </c>
      <c r="K7" s="14" t="n">
        <f aca="false">I7-J7</f>
        <v>151740.87</v>
      </c>
      <c r="L7" s="13" t="n">
        <v>63343.15</v>
      </c>
      <c r="M7" s="14" t="n">
        <f aca="false">K7-L7</f>
        <v>88397.72</v>
      </c>
      <c r="N7" s="13" t="n">
        <v>6828.92</v>
      </c>
      <c r="O7" s="13" t="n">
        <v>2143.4</v>
      </c>
      <c r="P7" s="13" t="n">
        <v>19062.1</v>
      </c>
      <c r="Q7" s="14" t="n">
        <f aca="false">M7-N7-O7-P7</f>
        <v>60363.3</v>
      </c>
      <c r="R7" s="15" t="n">
        <f aca="false">IFERROR(K7/I7,0)</f>
        <v>0.777711582182973</v>
      </c>
      <c r="S7" s="15" t="n">
        <f aca="false">IFERROR(M7/I7,0)</f>
        <v>0.453061397911897</v>
      </c>
      <c r="T7" s="15" t="n">
        <f aca="false">IFERROR(Q7/I7,0)</f>
        <v>0.309377674905814</v>
      </c>
      <c r="U7" s="13" t="n">
        <v>198317.71</v>
      </c>
      <c r="V7" s="14" t="n">
        <f aca="false">I7</f>
        <v>195112.01</v>
      </c>
      <c r="W7" s="13" t="n">
        <v>103125.21</v>
      </c>
      <c r="X7" s="14" t="n">
        <f aca="false">J7+L7</f>
        <v>106714.29</v>
      </c>
      <c r="Y7" s="14" t="n">
        <f aca="false">V7-U7</f>
        <v>-3205.69999999998</v>
      </c>
      <c r="Z7" s="13" t="n">
        <v>267092.01</v>
      </c>
      <c r="AA7" s="13" t="n">
        <v>70622.88</v>
      </c>
      <c r="AB7" s="13" t="n">
        <v>236265.05</v>
      </c>
      <c r="AC7" s="14" t="n">
        <f aca="false">Z7-AA7</f>
        <v>196469.13</v>
      </c>
    </row>
    <row r="8" customFormat="false" ht="15" hidden="false" customHeight="false" outlineLevel="0" collapsed="false">
      <c r="A8" s="11" t="n">
        <v>45474</v>
      </c>
      <c r="B8" s="12" t="s">
        <v>52</v>
      </c>
      <c r="C8" s="12" t="s">
        <v>53</v>
      </c>
      <c r="D8" s="12" t="n">
        <v>2024</v>
      </c>
      <c r="E8" s="12" t="s">
        <v>42</v>
      </c>
      <c r="F8" s="12" t="s">
        <v>43</v>
      </c>
      <c r="G8" s="12" t="s">
        <v>44</v>
      </c>
      <c r="H8" s="12" t="s">
        <v>45</v>
      </c>
      <c r="I8" s="13" t="n">
        <v>194069.33</v>
      </c>
      <c r="J8" s="13" t="n">
        <v>45497.48</v>
      </c>
      <c r="K8" s="14" t="n">
        <f aca="false">I8-J8</f>
        <v>148571.85</v>
      </c>
      <c r="L8" s="13" t="n">
        <v>61825.42</v>
      </c>
      <c r="M8" s="14" t="n">
        <f aca="false">K8-L8</f>
        <v>86746.43</v>
      </c>
      <c r="N8" s="13" t="n">
        <v>6792.43</v>
      </c>
      <c r="O8" s="13" t="n">
        <v>4984.63</v>
      </c>
      <c r="P8" s="13" t="n">
        <v>17992.65</v>
      </c>
      <c r="Q8" s="14" t="n">
        <f aca="false">M8-N8-O8-P8</f>
        <v>56976.72</v>
      </c>
      <c r="R8" s="15" t="n">
        <f aca="false">IFERROR(K8/I8,0)</f>
        <v>0.765560689058905</v>
      </c>
      <c r="S8" s="15" t="n">
        <f aca="false">IFERROR(M8/I8,0)</f>
        <v>0.446986806209925</v>
      </c>
      <c r="T8" s="15" t="n">
        <f aca="false">IFERROR(Q8/I8,0)</f>
        <v>0.293589512572646</v>
      </c>
      <c r="U8" s="13" t="n">
        <v>201094.16</v>
      </c>
      <c r="V8" s="14" t="n">
        <f aca="false">I8</f>
        <v>194069.33</v>
      </c>
      <c r="W8" s="13" t="n">
        <v>104568.96</v>
      </c>
      <c r="X8" s="14" t="n">
        <f aca="false">J8+L8</f>
        <v>107322.9</v>
      </c>
      <c r="Y8" s="14" t="n">
        <f aca="false">V8-U8</f>
        <v>-7024.83000000002</v>
      </c>
      <c r="Z8" s="13" t="n">
        <v>275719.14</v>
      </c>
      <c r="AA8" s="13" t="n">
        <v>68750.14</v>
      </c>
      <c r="AB8" s="13" t="n">
        <v>240841.38</v>
      </c>
      <c r="AC8" s="14" t="n">
        <f aca="false">Z8-AA8</f>
        <v>206969</v>
      </c>
    </row>
    <row r="9" customFormat="false" ht="15" hidden="false" customHeight="false" outlineLevel="0" collapsed="false">
      <c r="A9" s="11" t="n">
        <v>45505</v>
      </c>
      <c r="B9" s="12" t="s">
        <v>54</v>
      </c>
      <c r="C9" s="12" t="s">
        <v>53</v>
      </c>
      <c r="D9" s="12" t="n">
        <v>2024</v>
      </c>
      <c r="E9" s="12" t="s">
        <v>42</v>
      </c>
      <c r="F9" s="12" t="s">
        <v>43</v>
      </c>
      <c r="G9" s="12" t="s">
        <v>44</v>
      </c>
      <c r="H9" s="12" t="s">
        <v>45</v>
      </c>
      <c r="I9" s="13" t="n">
        <v>219855.56</v>
      </c>
      <c r="J9" s="13" t="n">
        <v>50591.81</v>
      </c>
      <c r="K9" s="14" t="n">
        <f aca="false">I9-J9</f>
        <v>169263.75</v>
      </c>
      <c r="L9" s="13" t="n">
        <v>65963.2</v>
      </c>
      <c r="M9" s="14" t="n">
        <f aca="false">K9-L9</f>
        <v>103300.55</v>
      </c>
      <c r="N9" s="13" t="n">
        <v>7694.94</v>
      </c>
      <c r="O9" s="13" t="n">
        <v>3693.63</v>
      </c>
      <c r="P9" s="13" t="n">
        <v>22058.88</v>
      </c>
      <c r="Q9" s="14" t="n">
        <f aca="false">M9-N9-O9-P9</f>
        <v>69853.1</v>
      </c>
      <c r="R9" s="15" t="n">
        <f aca="false">IFERROR(K9/I9,0)</f>
        <v>0.769886147068557</v>
      </c>
      <c r="S9" s="15" t="n">
        <f aca="false">IFERROR(M9/I9,0)</f>
        <v>0.469856436653228</v>
      </c>
      <c r="T9" s="15" t="n">
        <f aca="false">IFERROR(Q9/I9,0)</f>
        <v>0.317722690297211</v>
      </c>
      <c r="U9" s="13" t="n">
        <v>203909.48</v>
      </c>
      <c r="V9" s="14" t="n">
        <f aca="false">I9</f>
        <v>219855.56</v>
      </c>
      <c r="W9" s="13" t="n">
        <v>106032.93</v>
      </c>
      <c r="X9" s="14" t="n">
        <f aca="false">J9+L9</f>
        <v>116555.01</v>
      </c>
      <c r="Y9" s="14" t="n">
        <f aca="false">V9-U9</f>
        <v>15946.08</v>
      </c>
      <c r="Z9" s="13" t="n">
        <v>313480.17</v>
      </c>
      <c r="AA9" s="13" t="n">
        <v>75047.24</v>
      </c>
      <c r="AB9" s="13" t="n">
        <v>241351.84</v>
      </c>
      <c r="AC9" s="14" t="n">
        <f aca="false">Z9-AA9</f>
        <v>238432.93</v>
      </c>
    </row>
    <row r="10" customFormat="false" ht="15" hidden="false" customHeight="false" outlineLevel="0" collapsed="false">
      <c r="A10" s="11" t="n">
        <v>45536</v>
      </c>
      <c r="B10" s="12" t="s">
        <v>55</v>
      </c>
      <c r="C10" s="12" t="s">
        <v>53</v>
      </c>
      <c r="D10" s="12" t="n">
        <v>2024</v>
      </c>
      <c r="E10" s="12" t="s">
        <v>42</v>
      </c>
      <c r="F10" s="12" t="s">
        <v>43</v>
      </c>
      <c r="G10" s="12" t="s">
        <v>44</v>
      </c>
      <c r="H10" s="12" t="s">
        <v>45</v>
      </c>
      <c r="I10" s="13" t="n">
        <v>208098.24</v>
      </c>
      <c r="J10" s="13" t="n">
        <v>42819.6</v>
      </c>
      <c r="K10" s="14" t="n">
        <f aca="false">I10-J10</f>
        <v>165278.64</v>
      </c>
      <c r="L10" s="13" t="n">
        <v>65728.09</v>
      </c>
      <c r="M10" s="14" t="n">
        <f aca="false">K10-L10</f>
        <v>99550.55</v>
      </c>
      <c r="N10" s="13" t="n">
        <v>7283.44</v>
      </c>
      <c r="O10" s="13" t="n">
        <v>2710.32</v>
      </c>
      <c r="P10" s="13" t="n">
        <v>21493.63</v>
      </c>
      <c r="Q10" s="14" t="n">
        <f aca="false">M10-N10-O10-P10</f>
        <v>68063.16</v>
      </c>
      <c r="R10" s="15" t="n">
        <f aca="false">IFERROR(K10/I10,0)</f>
        <v>0.794233723456767</v>
      </c>
      <c r="S10" s="15" t="n">
        <f aca="false">IFERROR(M10/I10,0)</f>
        <v>0.478382469741215</v>
      </c>
      <c r="T10" s="15" t="n">
        <f aca="false">IFERROR(Q10/I10,0)</f>
        <v>0.327072252028657</v>
      </c>
      <c r="U10" s="13" t="n">
        <v>206764.21</v>
      </c>
      <c r="V10" s="14" t="n">
        <f aca="false">I10</f>
        <v>208098.24</v>
      </c>
      <c r="W10" s="13" t="n">
        <v>107517.39</v>
      </c>
      <c r="X10" s="14" t="n">
        <f aca="false">J10+L10</f>
        <v>108547.69</v>
      </c>
      <c r="Y10" s="14" t="n">
        <f aca="false">V10-U10</f>
        <v>1334.03</v>
      </c>
      <c r="Z10" s="13" t="n">
        <v>282917.38</v>
      </c>
      <c r="AA10" s="13" t="n">
        <v>75503.18</v>
      </c>
      <c r="AB10" s="13" t="n">
        <v>245309.85</v>
      </c>
      <c r="AC10" s="14" t="n">
        <f aca="false">Z10-AA10</f>
        <v>207414.2</v>
      </c>
    </row>
    <row r="11" customFormat="false" ht="15" hidden="false" customHeight="false" outlineLevel="0" collapsed="false">
      <c r="A11" s="11" t="n">
        <v>45566</v>
      </c>
      <c r="B11" s="12" t="s">
        <v>56</v>
      </c>
      <c r="C11" s="12" t="s">
        <v>57</v>
      </c>
      <c r="D11" s="12" t="n">
        <v>2024</v>
      </c>
      <c r="E11" s="12" t="s">
        <v>42</v>
      </c>
      <c r="F11" s="12" t="s">
        <v>43</v>
      </c>
      <c r="G11" s="12" t="s">
        <v>44</v>
      </c>
      <c r="H11" s="12" t="s">
        <v>45</v>
      </c>
      <c r="I11" s="13" t="n">
        <v>202631.73</v>
      </c>
      <c r="J11" s="13" t="n">
        <v>42302.22</v>
      </c>
      <c r="K11" s="14" t="n">
        <f aca="false">I11-J11</f>
        <v>160329.51</v>
      </c>
      <c r="L11" s="13" t="n">
        <v>60259.33</v>
      </c>
      <c r="M11" s="14" t="n">
        <f aca="false">K11-L11</f>
        <v>100070.18</v>
      </c>
      <c r="N11" s="13" t="n">
        <v>7092.11</v>
      </c>
      <c r="O11" s="13" t="n">
        <v>2700.59</v>
      </c>
      <c r="P11" s="13" t="n">
        <v>21666.6</v>
      </c>
      <c r="Q11" s="14" t="n">
        <f aca="false">M11-N11-O11-P11</f>
        <v>68610.88</v>
      </c>
      <c r="R11" s="15" t="n">
        <f aca="false">IFERROR(K11/I11,0)</f>
        <v>0.791235953026705</v>
      </c>
      <c r="S11" s="15" t="n">
        <f aca="false">IFERROR(M11/I11,0)</f>
        <v>0.493852468219069</v>
      </c>
      <c r="T11" s="15" t="n">
        <f aca="false">IFERROR(Q11/I11,0)</f>
        <v>0.338598895641862</v>
      </c>
      <c r="U11" s="13" t="n">
        <v>209658.91</v>
      </c>
      <c r="V11" s="14" t="n">
        <f aca="false">I11</f>
        <v>202631.73</v>
      </c>
      <c r="W11" s="13" t="n">
        <v>109022.63</v>
      </c>
      <c r="X11" s="14" t="n">
        <f aca="false">J11+L11</f>
        <v>102561.55</v>
      </c>
      <c r="Y11" s="14" t="n">
        <f aca="false">V11-U11</f>
        <v>-7027.17999999999</v>
      </c>
      <c r="Z11" s="13" t="n">
        <v>276496.64</v>
      </c>
      <c r="AA11" s="13" t="n">
        <v>66692.04</v>
      </c>
      <c r="AB11" s="13" t="n">
        <v>243510.1</v>
      </c>
      <c r="AC11" s="14" t="n">
        <f aca="false">Z11-AA11</f>
        <v>209804.6</v>
      </c>
    </row>
    <row r="12" customFormat="false" ht="15" hidden="false" customHeight="false" outlineLevel="0" collapsed="false">
      <c r="A12" s="11" t="n">
        <v>45597</v>
      </c>
      <c r="B12" s="12" t="s">
        <v>58</v>
      </c>
      <c r="C12" s="12" t="s">
        <v>57</v>
      </c>
      <c r="D12" s="12" t="n">
        <v>2024</v>
      </c>
      <c r="E12" s="12" t="s">
        <v>42</v>
      </c>
      <c r="F12" s="12" t="s">
        <v>43</v>
      </c>
      <c r="G12" s="12" t="s">
        <v>44</v>
      </c>
      <c r="H12" s="12" t="s">
        <v>45</v>
      </c>
      <c r="I12" s="13" t="n">
        <v>211354.67</v>
      </c>
      <c r="J12" s="13" t="n">
        <v>52083.11</v>
      </c>
      <c r="K12" s="14" t="n">
        <f aca="false">I12-J12</f>
        <v>159271.56</v>
      </c>
      <c r="L12" s="13" t="n">
        <v>66607.24</v>
      </c>
      <c r="M12" s="14" t="n">
        <f aca="false">K12-L12</f>
        <v>92664.32</v>
      </c>
      <c r="N12" s="13" t="n">
        <v>7397.41</v>
      </c>
      <c r="O12" s="13" t="n">
        <v>2545.69</v>
      </c>
      <c r="P12" s="13" t="n">
        <v>19853.09</v>
      </c>
      <c r="Q12" s="14" t="n">
        <f aca="false">M12-N12-O12-P12</f>
        <v>62868.13</v>
      </c>
      <c r="R12" s="15" t="n">
        <f aca="false">IFERROR(K12/I12,0)</f>
        <v>0.753574832294929</v>
      </c>
      <c r="S12" s="15" t="n">
        <f aca="false">IFERROR(M12/I12,0)</f>
        <v>0.438430435438214</v>
      </c>
      <c r="T12" s="15" t="n">
        <f aca="false">IFERROR(Q12/I12,0)</f>
        <v>0.297453233467706</v>
      </c>
      <c r="U12" s="13" t="n">
        <v>212594.13</v>
      </c>
      <c r="V12" s="14" t="n">
        <f aca="false">I12</f>
        <v>211354.67</v>
      </c>
      <c r="W12" s="13" t="n">
        <v>110548.95</v>
      </c>
      <c r="X12" s="14" t="n">
        <f aca="false">J12+L12</f>
        <v>118690.35</v>
      </c>
      <c r="Y12" s="14" t="n">
        <f aca="false">V12-U12</f>
        <v>-1239.45999999999</v>
      </c>
      <c r="Z12" s="13" t="n">
        <v>310618.5</v>
      </c>
      <c r="AA12" s="13" t="n">
        <v>73337.76</v>
      </c>
      <c r="AB12" s="13" t="n">
        <v>245757.03</v>
      </c>
      <c r="AC12" s="14" t="n">
        <f aca="false">Z12-AA12</f>
        <v>237280.74</v>
      </c>
    </row>
    <row r="13" customFormat="false" ht="15" hidden="false" customHeight="false" outlineLevel="0" collapsed="false">
      <c r="A13" s="11" t="n">
        <v>45627</v>
      </c>
      <c r="B13" s="12" t="s">
        <v>59</v>
      </c>
      <c r="C13" s="12" t="s">
        <v>57</v>
      </c>
      <c r="D13" s="12" t="n">
        <v>2024</v>
      </c>
      <c r="E13" s="12" t="s">
        <v>42</v>
      </c>
      <c r="F13" s="12" t="s">
        <v>43</v>
      </c>
      <c r="G13" s="12" t="s">
        <v>44</v>
      </c>
      <c r="H13" s="12" t="s">
        <v>45</v>
      </c>
      <c r="I13" s="13" t="n">
        <v>217561.96</v>
      </c>
      <c r="J13" s="13" t="n">
        <v>52583.6</v>
      </c>
      <c r="K13" s="14" t="n">
        <f aca="false">I13-J13</f>
        <v>164978.36</v>
      </c>
      <c r="L13" s="13" t="n">
        <v>68804.07</v>
      </c>
      <c r="M13" s="14" t="n">
        <f aca="false">K13-L13</f>
        <v>96174.29</v>
      </c>
      <c r="N13" s="13" t="n">
        <v>7614.67</v>
      </c>
      <c r="O13" s="13" t="n">
        <v>2015.99</v>
      </c>
      <c r="P13" s="13" t="n">
        <v>20770.47</v>
      </c>
      <c r="Q13" s="14" t="n">
        <f aca="false">M13-N13-O13-P13</f>
        <v>65773.16</v>
      </c>
      <c r="R13" s="15" t="n">
        <f aca="false">IFERROR(K13/I13,0)</f>
        <v>0.758305174305288</v>
      </c>
      <c r="S13" s="15" t="n">
        <f aca="false">IFERROR(M13/I13,0)</f>
        <v>0.442054713976653</v>
      </c>
      <c r="T13" s="15" t="n">
        <f aca="false">IFERROR(Q13/I13,0)</f>
        <v>0.302319210582585</v>
      </c>
      <c r="U13" s="13" t="n">
        <v>215570.45</v>
      </c>
      <c r="V13" s="14" t="n">
        <f aca="false">I13</f>
        <v>217561.96</v>
      </c>
      <c r="W13" s="13" t="n">
        <v>112096.64</v>
      </c>
      <c r="X13" s="14" t="n">
        <f aca="false">J13+L13</f>
        <v>121387.67</v>
      </c>
      <c r="Y13" s="14" t="n">
        <f aca="false">V13-U13</f>
        <v>1991.50999999998</v>
      </c>
      <c r="Z13" s="13" t="n">
        <v>300981.02</v>
      </c>
      <c r="AA13" s="13" t="n">
        <v>79439.35</v>
      </c>
      <c r="AB13" s="13" t="n">
        <v>241771.13</v>
      </c>
      <c r="AC13" s="14" t="n">
        <f aca="false">Z13-AA13</f>
        <v>221541.67</v>
      </c>
    </row>
    <row r="14" customFormat="false" ht="15" hidden="false" customHeight="false" outlineLevel="0" collapsed="false">
      <c r="A14" s="11" t="n">
        <v>45658</v>
      </c>
      <c r="B14" s="12" t="s">
        <v>40</v>
      </c>
      <c r="C14" s="12" t="s">
        <v>41</v>
      </c>
      <c r="D14" s="12" t="n">
        <v>2025</v>
      </c>
      <c r="E14" s="12" t="s">
        <v>42</v>
      </c>
      <c r="F14" s="12" t="s">
        <v>43</v>
      </c>
      <c r="G14" s="12" t="s">
        <v>44</v>
      </c>
      <c r="H14" s="12" t="s">
        <v>45</v>
      </c>
      <c r="I14" s="13" t="n">
        <v>187118.7</v>
      </c>
      <c r="J14" s="13" t="n">
        <v>39353.86</v>
      </c>
      <c r="K14" s="14" t="n">
        <f aca="false">I14-J14</f>
        <v>147764.84</v>
      </c>
      <c r="L14" s="13" t="n">
        <v>65887.07</v>
      </c>
      <c r="M14" s="14" t="n">
        <f aca="false">K14-L14</f>
        <v>81877.77</v>
      </c>
      <c r="N14" s="13" t="n">
        <v>6549.15</v>
      </c>
      <c r="O14" s="13" t="n">
        <v>4250.45</v>
      </c>
      <c r="P14" s="13" t="n">
        <v>17058.76</v>
      </c>
      <c r="Q14" s="14" t="n">
        <f aca="false">M14-N14-O14-P14</f>
        <v>54019.41</v>
      </c>
      <c r="R14" s="15" t="n">
        <f aca="false">IFERROR(K14/I14,0)</f>
        <v>0.789685050184723</v>
      </c>
      <c r="S14" s="15" t="n">
        <f aca="false">IFERROR(M14/I14,0)</f>
        <v>0.437571284965105</v>
      </c>
      <c r="T14" s="15" t="n">
        <f aca="false">IFERROR(Q14/I14,0)</f>
        <v>0.288690601206614</v>
      </c>
      <c r="U14" s="13" t="n">
        <v>218588.44</v>
      </c>
      <c r="V14" s="14" t="n">
        <f aca="false">I14</f>
        <v>187118.7</v>
      </c>
      <c r="W14" s="13" t="n">
        <v>113665.99</v>
      </c>
      <c r="X14" s="14" t="n">
        <f aca="false">J14+L14</f>
        <v>105240.93</v>
      </c>
      <c r="Y14" s="14" t="n">
        <f aca="false">V14-U14</f>
        <v>-31469.74</v>
      </c>
      <c r="Z14" s="13" t="n">
        <v>266726.38</v>
      </c>
      <c r="AA14" s="13" t="n">
        <v>72743.72</v>
      </c>
      <c r="AB14" s="13" t="n">
        <v>242007.92</v>
      </c>
      <c r="AC14" s="14" t="n">
        <f aca="false">Z14-AA14</f>
        <v>193982.66</v>
      </c>
    </row>
    <row r="15" customFormat="false" ht="15" hidden="false" customHeight="false" outlineLevel="0" collapsed="false">
      <c r="A15" s="11" t="n">
        <v>45689</v>
      </c>
      <c r="B15" s="12" t="s">
        <v>46</v>
      </c>
      <c r="C15" s="12" t="s">
        <v>41</v>
      </c>
      <c r="D15" s="12" t="n">
        <v>2025</v>
      </c>
      <c r="E15" s="12" t="s">
        <v>42</v>
      </c>
      <c r="F15" s="12" t="s">
        <v>43</v>
      </c>
      <c r="G15" s="12" t="s">
        <v>44</v>
      </c>
      <c r="H15" s="12" t="s">
        <v>45</v>
      </c>
      <c r="I15" s="13" t="n">
        <v>238999.92</v>
      </c>
      <c r="J15" s="13" t="n">
        <v>56482.25</v>
      </c>
      <c r="K15" s="14" t="n">
        <f aca="false">I15-J15</f>
        <v>182517.67</v>
      </c>
      <c r="L15" s="13" t="n">
        <v>67069.83</v>
      </c>
      <c r="M15" s="14" t="n">
        <f aca="false">K15-L15</f>
        <v>115447.84</v>
      </c>
      <c r="N15" s="13" t="n">
        <v>8365</v>
      </c>
      <c r="O15" s="13" t="n">
        <v>4777.9</v>
      </c>
      <c r="P15" s="13" t="n">
        <v>24553.19</v>
      </c>
      <c r="Q15" s="14" t="n">
        <f aca="false">M15-N15-O15-P15</f>
        <v>77751.75</v>
      </c>
      <c r="R15" s="15" t="n">
        <f aca="false">IFERROR(K15/I15,0)</f>
        <v>0.763672515036825</v>
      </c>
      <c r="S15" s="15" t="n">
        <f aca="false">IFERROR(M15/I15,0)</f>
        <v>0.483045517337412</v>
      </c>
      <c r="T15" s="15" t="n">
        <f aca="false">IFERROR(Q15/I15,0)</f>
        <v>0.325321238601251</v>
      </c>
      <c r="U15" s="13" t="n">
        <v>221648.68</v>
      </c>
      <c r="V15" s="14" t="n">
        <f aca="false">I15</f>
        <v>238999.92</v>
      </c>
      <c r="W15" s="13" t="n">
        <v>115257.31</v>
      </c>
      <c r="X15" s="14" t="n">
        <f aca="false">J15+L15</f>
        <v>123552.08</v>
      </c>
      <c r="Y15" s="14" t="n">
        <f aca="false">V15-U15</f>
        <v>17351.24</v>
      </c>
      <c r="Z15" s="13" t="n">
        <v>326682.89</v>
      </c>
      <c r="AA15" s="13" t="n">
        <v>73781.14</v>
      </c>
      <c r="AB15" s="13" t="n">
        <v>246417.13</v>
      </c>
      <c r="AC15" s="14" t="n">
        <f aca="false">Z15-AA15</f>
        <v>252901.75</v>
      </c>
    </row>
    <row r="16" customFormat="false" ht="15" hidden="false" customHeight="false" outlineLevel="0" collapsed="false">
      <c r="A16" s="11" t="n">
        <v>45717</v>
      </c>
      <c r="B16" s="12" t="s">
        <v>47</v>
      </c>
      <c r="C16" s="12" t="s">
        <v>41</v>
      </c>
      <c r="D16" s="12" t="n">
        <v>2025</v>
      </c>
      <c r="E16" s="12" t="s">
        <v>42</v>
      </c>
      <c r="F16" s="12" t="s">
        <v>43</v>
      </c>
      <c r="G16" s="12" t="s">
        <v>44</v>
      </c>
      <c r="H16" s="12" t="s">
        <v>45</v>
      </c>
      <c r="I16" s="13" t="n">
        <v>236581.56</v>
      </c>
      <c r="J16" s="13" t="n">
        <v>61462.95</v>
      </c>
      <c r="K16" s="14" t="n">
        <f aca="false">I16-J16</f>
        <v>175118.61</v>
      </c>
      <c r="L16" s="13" t="n">
        <v>69382.58</v>
      </c>
      <c r="M16" s="14" t="n">
        <f aca="false">K16-L16</f>
        <v>105736.03</v>
      </c>
      <c r="N16" s="13" t="n">
        <v>8280.35</v>
      </c>
      <c r="O16" s="13" t="n">
        <v>3972.43</v>
      </c>
      <c r="P16" s="13" t="n">
        <v>22435.98</v>
      </c>
      <c r="Q16" s="14" t="n">
        <f aca="false">M16-N16-O16-P16</f>
        <v>71047.27</v>
      </c>
      <c r="R16" s="15" t="n">
        <f aca="false">IFERROR(K16/I16,0)</f>
        <v>0.74020397025026</v>
      </c>
      <c r="S16" s="15" t="n">
        <f aca="false">IFERROR(M16/I16,0)</f>
        <v>0.44693267725515</v>
      </c>
      <c r="T16" s="15" t="n">
        <f aca="false">IFERROR(Q16/I16,0)</f>
        <v>0.300307724744059</v>
      </c>
      <c r="U16" s="13" t="n">
        <v>224751.76</v>
      </c>
      <c r="V16" s="14" t="n">
        <f aca="false">I16</f>
        <v>236581.56</v>
      </c>
      <c r="W16" s="13" t="n">
        <v>116870.91</v>
      </c>
      <c r="X16" s="14" t="n">
        <f aca="false">J16+L16</f>
        <v>130845.53</v>
      </c>
      <c r="Y16" s="14" t="n">
        <f aca="false">V16-U16</f>
        <v>11829.8</v>
      </c>
      <c r="Z16" s="13" t="n">
        <v>334823.43</v>
      </c>
      <c r="AA16" s="13" t="n">
        <v>73671.28</v>
      </c>
      <c r="AB16" s="13" t="n">
        <v>247884.67</v>
      </c>
      <c r="AC16" s="14" t="n">
        <f aca="false">Z16-AA16</f>
        <v>261152.15</v>
      </c>
    </row>
    <row r="17" customFormat="false" ht="15" hidden="false" customHeight="false" outlineLevel="0" collapsed="false">
      <c r="A17" s="11" t="n">
        <v>45748</v>
      </c>
      <c r="B17" s="12" t="s">
        <v>48</v>
      </c>
      <c r="C17" s="12" t="s">
        <v>49</v>
      </c>
      <c r="D17" s="12" t="n">
        <v>2025</v>
      </c>
      <c r="E17" s="12" t="s">
        <v>42</v>
      </c>
      <c r="F17" s="12" t="s">
        <v>43</v>
      </c>
      <c r="G17" s="12" t="s">
        <v>44</v>
      </c>
      <c r="H17" s="12" t="s">
        <v>45</v>
      </c>
      <c r="I17" s="13" t="n">
        <v>212339.46</v>
      </c>
      <c r="J17" s="13" t="n">
        <v>47648.74</v>
      </c>
      <c r="K17" s="14" t="n">
        <f aca="false">I17-J17</f>
        <v>164690.72</v>
      </c>
      <c r="L17" s="13" t="n">
        <v>63690.69</v>
      </c>
      <c r="M17" s="14" t="n">
        <f aca="false">K17-L17</f>
        <v>101000.03</v>
      </c>
      <c r="N17" s="13" t="n">
        <v>7431.88</v>
      </c>
      <c r="O17" s="13" t="n">
        <v>1866.22</v>
      </c>
      <c r="P17" s="13" t="n">
        <v>22008.46</v>
      </c>
      <c r="Q17" s="14" t="n">
        <f aca="false">M17-N17-O17-P17</f>
        <v>69693.47</v>
      </c>
      <c r="R17" s="15" t="n">
        <f aca="false">IFERROR(K17/I17,0)</f>
        <v>0.775601105889598</v>
      </c>
      <c r="S17" s="15" t="n">
        <f aca="false">IFERROR(M17/I17,0)</f>
        <v>0.475653606729526</v>
      </c>
      <c r="T17" s="15" t="n">
        <f aca="false">IFERROR(Q17/I17,0)</f>
        <v>0.328217232915634</v>
      </c>
      <c r="U17" s="13" t="n">
        <v>227898.28</v>
      </c>
      <c r="V17" s="14" t="n">
        <f aca="false">I17</f>
        <v>212339.46</v>
      </c>
      <c r="W17" s="13" t="n">
        <v>118507.11</v>
      </c>
      <c r="X17" s="14" t="n">
        <f aca="false">J17+L17</f>
        <v>111339.43</v>
      </c>
      <c r="Y17" s="14" t="n">
        <f aca="false">V17-U17</f>
        <v>-15558.82</v>
      </c>
      <c r="Z17" s="13" t="n">
        <v>310031.28</v>
      </c>
      <c r="AA17" s="13" t="n">
        <v>72713.08</v>
      </c>
      <c r="AB17" s="13" t="n">
        <v>248891.98</v>
      </c>
      <c r="AC17" s="14" t="n">
        <f aca="false">Z17-AA17</f>
        <v>237318.2</v>
      </c>
    </row>
    <row r="18" customFormat="false" ht="15" hidden="false" customHeight="false" outlineLevel="0" collapsed="false">
      <c r="A18" s="11" t="n">
        <v>45778</v>
      </c>
      <c r="B18" s="12" t="s">
        <v>50</v>
      </c>
      <c r="C18" s="12" t="s">
        <v>49</v>
      </c>
      <c r="D18" s="12" t="n">
        <v>2025</v>
      </c>
      <c r="E18" s="12" t="s">
        <v>42</v>
      </c>
      <c r="F18" s="12" t="s">
        <v>43</v>
      </c>
      <c r="G18" s="12" t="s">
        <v>44</v>
      </c>
      <c r="H18" s="12" t="s">
        <v>45</v>
      </c>
      <c r="I18" s="13" t="n">
        <v>236437.67</v>
      </c>
      <c r="J18" s="13" t="n">
        <v>48484.48</v>
      </c>
      <c r="K18" s="14" t="n">
        <f aca="false">I18-J18</f>
        <v>187953.19</v>
      </c>
      <c r="L18" s="13" t="n">
        <v>79042.43</v>
      </c>
      <c r="M18" s="14" t="n">
        <f aca="false">K18-L18</f>
        <v>108910.76</v>
      </c>
      <c r="N18" s="13" t="n">
        <v>8275.32</v>
      </c>
      <c r="O18" s="13" t="n">
        <v>5019.63</v>
      </c>
      <c r="P18" s="13" t="n">
        <v>22947.79</v>
      </c>
      <c r="Q18" s="14" t="n">
        <f aca="false">M18-N18-O18-P18</f>
        <v>72668.02</v>
      </c>
      <c r="R18" s="15" t="n">
        <f aca="false">IFERROR(K18/I18,0)</f>
        <v>0.79493758333856</v>
      </c>
      <c r="S18" s="15" t="n">
        <f aca="false">IFERROR(M18/I18,0)</f>
        <v>0.460632013502755</v>
      </c>
      <c r="T18" s="15" t="n">
        <f aca="false">IFERROR(Q18/I18,0)</f>
        <v>0.307345356600748</v>
      </c>
      <c r="U18" s="13" t="n">
        <v>231088.86</v>
      </c>
      <c r="V18" s="14" t="n">
        <f aca="false">I18</f>
        <v>236437.67</v>
      </c>
      <c r="W18" s="13" t="n">
        <v>120166.21</v>
      </c>
      <c r="X18" s="14" t="n">
        <f aca="false">J18+L18</f>
        <v>127526.91</v>
      </c>
      <c r="Y18" s="14" t="n">
        <f aca="false">V18-U18</f>
        <v>5348.81000000003</v>
      </c>
      <c r="Z18" s="13" t="n">
        <v>317297.34</v>
      </c>
      <c r="AA18" s="13" t="n">
        <v>86824.86</v>
      </c>
      <c r="AB18" s="13" t="n">
        <v>257521.29</v>
      </c>
      <c r="AC18" s="14" t="n">
        <f aca="false">Z18-AA18</f>
        <v>230472.48</v>
      </c>
    </row>
    <row r="19" customFormat="false" ht="15" hidden="false" customHeight="false" outlineLevel="0" collapsed="false">
      <c r="A19" s="11" t="n">
        <v>45809</v>
      </c>
      <c r="B19" s="12" t="s">
        <v>51</v>
      </c>
      <c r="C19" s="12" t="s">
        <v>49</v>
      </c>
      <c r="D19" s="12" t="n">
        <v>2025</v>
      </c>
      <c r="E19" s="12" t="s">
        <v>42</v>
      </c>
      <c r="F19" s="12" t="s">
        <v>43</v>
      </c>
      <c r="G19" s="12" t="s">
        <v>44</v>
      </c>
      <c r="H19" s="12" t="s">
        <v>45</v>
      </c>
      <c r="I19" s="13" t="n">
        <v>243505.2</v>
      </c>
      <c r="J19" s="13" t="n">
        <v>53824.74</v>
      </c>
      <c r="K19" s="14" t="n">
        <f aca="false">I19-J19</f>
        <v>189680.46</v>
      </c>
      <c r="L19" s="13" t="n">
        <v>66582.15</v>
      </c>
      <c r="M19" s="14" t="n">
        <f aca="false">K19-L19</f>
        <v>123098.31</v>
      </c>
      <c r="N19" s="13" t="n">
        <v>8522.68</v>
      </c>
      <c r="O19" s="13" t="n">
        <v>2701.19</v>
      </c>
      <c r="P19" s="13" t="n">
        <v>26849.87</v>
      </c>
      <c r="Q19" s="14" t="n">
        <f aca="false">M19-N19-O19-P19</f>
        <v>85024.57</v>
      </c>
      <c r="R19" s="15" t="n">
        <f aca="false">IFERROR(K19/I19,0)</f>
        <v>0.778958560227872</v>
      </c>
      <c r="S19" s="15" t="n">
        <f aca="false">IFERROR(M19/I19,0)</f>
        <v>0.505526411756299</v>
      </c>
      <c r="T19" s="15" t="n">
        <f aca="false">IFERROR(Q19/I19,0)</f>
        <v>0.349169422254638</v>
      </c>
      <c r="U19" s="13" t="n">
        <v>234324.1</v>
      </c>
      <c r="V19" s="14" t="n">
        <f aca="false">I19</f>
        <v>243505.2</v>
      </c>
      <c r="W19" s="13" t="n">
        <v>121848.53</v>
      </c>
      <c r="X19" s="14" t="n">
        <f aca="false">J19+L19</f>
        <v>120406.89</v>
      </c>
      <c r="Y19" s="14" t="n">
        <f aca="false">V19-U19</f>
        <v>9181.10000000001</v>
      </c>
      <c r="Z19" s="13" t="n">
        <v>353603.79</v>
      </c>
      <c r="AA19" s="13" t="n">
        <v>72677.42</v>
      </c>
      <c r="AB19" s="13" t="n">
        <v>259557.89</v>
      </c>
      <c r="AC19" s="14" t="n">
        <f aca="false">Z19-AA19</f>
        <v>280926.37</v>
      </c>
    </row>
    <row r="20" customFormat="false" ht="15" hidden="false" customHeight="false" outlineLevel="0" collapsed="false">
      <c r="A20" s="11" t="n">
        <v>45839</v>
      </c>
      <c r="B20" s="12" t="s">
        <v>52</v>
      </c>
      <c r="C20" s="12" t="s">
        <v>53</v>
      </c>
      <c r="D20" s="12" t="n">
        <v>2025</v>
      </c>
      <c r="E20" s="12" t="s">
        <v>42</v>
      </c>
      <c r="F20" s="12" t="s">
        <v>43</v>
      </c>
      <c r="G20" s="12" t="s">
        <v>44</v>
      </c>
      <c r="H20" s="12" t="s">
        <v>45</v>
      </c>
      <c r="I20" s="13" t="n">
        <v>241472.48</v>
      </c>
      <c r="J20" s="13" t="n">
        <v>58964.19</v>
      </c>
      <c r="K20" s="14" t="n">
        <f aca="false">I20-J20</f>
        <v>182508.29</v>
      </c>
      <c r="L20" s="13" t="n">
        <v>70173.95</v>
      </c>
      <c r="M20" s="14" t="n">
        <f aca="false">K20-L20</f>
        <v>112334.34</v>
      </c>
      <c r="N20" s="13" t="n">
        <v>8451.54</v>
      </c>
      <c r="O20" s="13" t="n">
        <v>2859.84</v>
      </c>
      <c r="P20" s="13" t="n">
        <v>24245.51</v>
      </c>
      <c r="Q20" s="14" t="n">
        <f aca="false">M20-N20-O20-P20</f>
        <v>76777.45</v>
      </c>
      <c r="R20" s="15" t="n">
        <f aca="false">IFERROR(K20/I20,0)</f>
        <v>0.755814037276629</v>
      </c>
      <c r="S20" s="15" t="n">
        <f aca="false">IFERROR(M20/I20,0)</f>
        <v>0.46520555882807</v>
      </c>
      <c r="T20" s="15" t="n">
        <f aca="false">IFERROR(Q20/I20,0)</f>
        <v>0.317955280038537</v>
      </c>
      <c r="U20" s="13" t="n">
        <v>237604.64</v>
      </c>
      <c r="V20" s="14" t="n">
        <f aca="false">I20</f>
        <v>241472.48</v>
      </c>
      <c r="W20" s="13" t="n">
        <v>123554.41</v>
      </c>
      <c r="X20" s="14" t="n">
        <f aca="false">J20+L20</f>
        <v>129138.14</v>
      </c>
      <c r="Y20" s="14" t="n">
        <f aca="false">V20-U20</f>
        <v>3867.84</v>
      </c>
      <c r="Z20" s="13" t="n">
        <v>354800.56</v>
      </c>
      <c r="AA20" s="13" t="n">
        <v>78348.27</v>
      </c>
      <c r="AB20" s="13" t="n">
        <v>254796.33</v>
      </c>
      <c r="AC20" s="14" t="n">
        <f aca="false">Z20-AA20</f>
        <v>276452.29</v>
      </c>
    </row>
    <row r="21" customFormat="false" ht="15" hidden="false" customHeight="false" outlineLevel="0" collapsed="false">
      <c r="A21" s="11" t="n">
        <v>45870</v>
      </c>
      <c r="B21" s="12" t="s">
        <v>54</v>
      </c>
      <c r="C21" s="12" t="s">
        <v>53</v>
      </c>
      <c r="D21" s="12" t="n">
        <v>2025</v>
      </c>
      <c r="E21" s="12" t="s">
        <v>42</v>
      </c>
      <c r="F21" s="12" t="s">
        <v>43</v>
      </c>
      <c r="G21" s="12" t="s">
        <v>44</v>
      </c>
      <c r="H21" s="12" t="s">
        <v>45</v>
      </c>
      <c r="I21" s="13" t="n">
        <v>246998.18</v>
      </c>
      <c r="J21" s="13" t="n">
        <v>56893.5</v>
      </c>
      <c r="K21" s="14" t="n">
        <f aca="false">I21-J21</f>
        <v>190104.68</v>
      </c>
      <c r="L21" s="13" t="n">
        <v>73864.32</v>
      </c>
      <c r="M21" s="14" t="n">
        <f aca="false">K21-L21</f>
        <v>116240.36</v>
      </c>
      <c r="N21" s="13" t="n">
        <v>8644.94</v>
      </c>
      <c r="O21" s="13" t="n">
        <v>2582.39</v>
      </c>
      <c r="P21" s="13" t="n">
        <v>25203.13</v>
      </c>
      <c r="Q21" s="14" t="n">
        <f aca="false">M21-N21-O21-P21</f>
        <v>79809.9</v>
      </c>
      <c r="R21" s="15" t="n">
        <f aca="false">IFERROR(K21/I21,0)</f>
        <v>0.769660246079546</v>
      </c>
      <c r="S21" s="15" t="n">
        <f aca="false">IFERROR(M21/I21,0)</f>
        <v>0.470612212608206</v>
      </c>
      <c r="T21" s="15" t="n">
        <f aca="false">IFERROR(Q21/I21,0)</f>
        <v>0.323119384928261</v>
      </c>
      <c r="U21" s="13" t="n">
        <v>240931.11</v>
      </c>
      <c r="V21" s="14" t="n">
        <f aca="false">I21</f>
        <v>246998.18</v>
      </c>
      <c r="W21" s="13" t="n">
        <v>125284.17</v>
      </c>
      <c r="X21" s="14" t="n">
        <f aca="false">J21+L21</f>
        <v>130757.82</v>
      </c>
      <c r="Y21" s="14" t="n">
        <f aca="false">V21-U21</f>
        <v>6067.07000000001</v>
      </c>
      <c r="Z21" s="13" t="n">
        <v>336122.64</v>
      </c>
      <c r="AA21" s="13" t="n">
        <v>77765.04</v>
      </c>
      <c r="AB21" s="13" t="n">
        <v>261591.15</v>
      </c>
      <c r="AC21" s="14" t="n">
        <f aca="false">Z21-AA21</f>
        <v>258357.6</v>
      </c>
    </row>
    <row r="22" customFormat="false" ht="15" hidden="false" customHeight="false" outlineLevel="0" collapsed="false">
      <c r="A22" s="11" t="n">
        <v>45901</v>
      </c>
      <c r="B22" s="12" t="s">
        <v>55</v>
      </c>
      <c r="C22" s="12" t="s">
        <v>53</v>
      </c>
      <c r="D22" s="12" t="n">
        <v>2025</v>
      </c>
      <c r="E22" s="12" t="s">
        <v>42</v>
      </c>
      <c r="F22" s="12" t="s">
        <v>43</v>
      </c>
      <c r="G22" s="12" t="s">
        <v>44</v>
      </c>
      <c r="H22" s="12" t="s">
        <v>45</v>
      </c>
      <c r="I22" s="13" t="n">
        <v>237720.53</v>
      </c>
      <c r="J22" s="13" t="n">
        <v>49783.12</v>
      </c>
      <c r="K22" s="14" t="n">
        <f aca="false">I22-J22</f>
        <v>187937.41</v>
      </c>
      <c r="L22" s="13" t="n">
        <v>79960.57</v>
      </c>
      <c r="M22" s="14" t="n">
        <f aca="false">K22-L22</f>
        <v>107976.84</v>
      </c>
      <c r="N22" s="13" t="n">
        <v>8320.22</v>
      </c>
      <c r="O22" s="13" t="n">
        <v>2040.91</v>
      </c>
      <c r="P22" s="13" t="n">
        <v>23427.77</v>
      </c>
      <c r="Q22" s="14" t="n">
        <f aca="false">M22-N22-O22-P22</f>
        <v>74187.94</v>
      </c>
      <c r="R22" s="15" t="n">
        <f aca="false">IFERROR(K22/I22,0)</f>
        <v>0.790581318323664</v>
      </c>
      <c r="S22" s="15" t="n">
        <f aca="false">IFERROR(M22/I22,0)</f>
        <v>0.45421756379224</v>
      </c>
      <c r="T22" s="15" t="n">
        <f aca="false">IFERROR(Q22/I22,0)</f>
        <v>0.312080492164476</v>
      </c>
      <c r="U22" s="13" t="n">
        <v>244304.14</v>
      </c>
      <c r="V22" s="14" t="n">
        <f aca="false">I22</f>
        <v>237720.53</v>
      </c>
      <c r="W22" s="13" t="n">
        <v>127038.15</v>
      </c>
      <c r="X22" s="14" t="n">
        <f aca="false">J22+L22</f>
        <v>129743.69</v>
      </c>
      <c r="Y22" s="14" t="n">
        <f aca="false">V22-U22</f>
        <v>-6583.61000000002</v>
      </c>
      <c r="Z22" s="13" t="n">
        <v>324089.31</v>
      </c>
      <c r="AA22" s="13" t="n">
        <v>89442.9</v>
      </c>
      <c r="AB22" s="13" t="n">
        <v>263258.6</v>
      </c>
      <c r="AC22" s="14" t="n">
        <f aca="false">Z22-AA22</f>
        <v>234646.41</v>
      </c>
    </row>
    <row r="23" customFormat="false" ht="15" hidden="false" customHeight="false" outlineLevel="0" collapsed="false">
      <c r="A23" s="11" t="n">
        <v>45931</v>
      </c>
      <c r="B23" s="12" t="s">
        <v>56</v>
      </c>
      <c r="C23" s="12" t="s">
        <v>57</v>
      </c>
      <c r="D23" s="12" t="n">
        <v>2025</v>
      </c>
      <c r="E23" s="12" t="s">
        <v>42</v>
      </c>
      <c r="F23" s="12" t="s">
        <v>43</v>
      </c>
      <c r="G23" s="12" t="s">
        <v>44</v>
      </c>
      <c r="H23" s="12" t="s">
        <v>45</v>
      </c>
      <c r="I23" s="13" t="n">
        <v>254800.84</v>
      </c>
      <c r="J23" s="13" t="n">
        <v>62149.65</v>
      </c>
      <c r="K23" s="14" t="n">
        <f aca="false">I23-J23</f>
        <v>192651.19</v>
      </c>
      <c r="L23" s="13" t="n">
        <v>69917.46</v>
      </c>
      <c r="M23" s="14" t="n">
        <f aca="false">K23-L23</f>
        <v>122733.73</v>
      </c>
      <c r="N23" s="13" t="n">
        <v>8918.03</v>
      </c>
      <c r="O23" s="13" t="n">
        <v>4545.49</v>
      </c>
      <c r="P23" s="13" t="n">
        <v>26224.85</v>
      </c>
      <c r="Q23" s="14" t="n">
        <f aca="false">M23-N23-O23-P23</f>
        <v>83045.36</v>
      </c>
      <c r="R23" s="15" t="n">
        <f aca="false">IFERROR(K23/I23,0)</f>
        <v>0.756085380252279</v>
      </c>
      <c r="S23" s="15" t="n">
        <f aca="false">IFERROR(M23/I23,0)</f>
        <v>0.481684950489174</v>
      </c>
      <c r="T23" s="15" t="n">
        <f aca="false">IFERROR(Q23/I23,0)</f>
        <v>0.325922630396352</v>
      </c>
      <c r="U23" s="13" t="n">
        <v>247724.4</v>
      </c>
      <c r="V23" s="14" t="n">
        <f aca="false">I23</f>
        <v>254800.84</v>
      </c>
      <c r="W23" s="13" t="n">
        <v>128816.69</v>
      </c>
      <c r="X23" s="14" t="n">
        <f aca="false">J23+L23</f>
        <v>132067.11</v>
      </c>
      <c r="Y23" s="14" t="n">
        <f aca="false">V23-U23</f>
        <v>7076.44</v>
      </c>
      <c r="Z23" s="13" t="n">
        <v>345677.44</v>
      </c>
      <c r="AA23" s="13" t="n">
        <v>73809.23</v>
      </c>
      <c r="AB23" s="13" t="n">
        <v>265888.15</v>
      </c>
      <c r="AC23" s="14" t="n">
        <f aca="false">Z23-AA23</f>
        <v>271868.21</v>
      </c>
    </row>
    <row r="24" customFormat="false" ht="15" hidden="false" customHeight="false" outlineLevel="0" collapsed="false">
      <c r="A24" s="11" t="n">
        <v>45962</v>
      </c>
      <c r="B24" s="12" t="s">
        <v>58</v>
      </c>
      <c r="C24" s="12" t="s">
        <v>57</v>
      </c>
      <c r="D24" s="12" t="n">
        <v>2025</v>
      </c>
      <c r="E24" s="12" t="s">
        <v>42</v>
      </c>
      <c r="F24" s="12" t="s">
        <v>43</v>
      </c>
      <c r="G24" s="12" t="s">
        <v>44</v>
      </c>
      <c r="H24" s="12" t="s">
        <v>45</v>
      </c>
      <c r="I24" s="13" t="n">
        <v>238030.26</v>
      </c>
      <c r="J24" s="13" t="n">
        <v>54464.42</v>
      </c>
      <c r="K24" s="14" t="n">
        <f aca="false">I24-J24</f>
        <v>183565.84</v>
      </c>
      <c r="L24" s="13" t="n">
        <v>67748.45</v>
      </c>
      <c r="M24" s="14" t="n">
        <f aca="false">K24-L24</f>
        <v>115817.39</v>
      </c>
      <c r="N24" s="13" t="n">
        <v>8331.06</v>
      </c>
      <c r="O24" s="13" t="n">
        <v>4089.44</v>
      </c>
      <c r="P24" s="13" t="n">
        <v>24815.25</v>
      </c>
      <c r="Q24" s="14" t="n">
        <f aca="false">M24-N24-O24-P24</f>
        <v>78581.64</v>
      </c>
      <c r="R24" s="15" t="n">
        <f aca="false">IFERROR(K24/I24,0)</f>
        <v>0.771186991099367</v>
      </c>
      <c r="S24" s="15" t="n">
        <f aca="false">IFERROR(M24/I24,0)</f>
        <v>0.486565825706362</v>
      </c>
      <c r="T24" s="15" t="n">
        <f aca="false">IFERROR(Q24/I24,0)</f>
        <v>0.330132983932379</v>
      </c>
      <c r="U24" s="13" t="n">
        <v>251192.54</v>
      </c>
      <c r="V24" s="14" t="n">
        <f aca="false">I24</f>
        <v>238030.26</v>
      </c>
      <c r="W24" s="13" t="n">
        <v>130620.12</v>
      </c>
      <c r="X24" s="14" t="n">
        <f aca="false">J24+L24</f>
        <v>122212.87</v>
      </c>
      <c r="Y24" s="14" t="n">
        <f aca="false">V24-U24</f>
        <v>-13162.28</v>
      </c>
      <c r="Z24" s="13" t="n">
        <v>349376.8</v>
      </c>
      <c r="AA24" s="13" t="n">
        <v>71530.57</v>
      </c>
      <c r="AB24" s="13" t="n">
        <v>262988.47</v>
      </c>
      <c r="AC24" s="14" t="n">
        <f aca="false">Z24-AA24</f>
        <v>277846.23</v>
      </c>
    </row>
    <row r="25" customFormat="false" ht="15" hidden="false" customHeight="false" outlineLevel="0" collapsed="false">
      <c r="A25" s="11" t="n">
        <v>45992</v>
      </c>
      <c r="B25" s="12" t="s">
        <v>59</v>
      </c>
      <c r="C25" s="12" t="s">
        <v>57</v>
      </c>
      <c r="D25" s="12" t="n">
        <v>2025</v>
      </c>
      <c r="E25" s="12" t="s">
        <v>42</v>
      </c>
      <c r="F25" s="12" t="s">
        <v>43</v>
      </c>
      <c r="G25" s="12" t="s">
        <v>44</v>
      </c>
      <c r="H25" s="12" t="s">
        <v>45</v>
      </c>
      <c r="I25" s="13" t="n">
        <v>262035.18</v>
      </c>
      <c r="J25" s="13" t="n">
        <v>60205.69</v>
      </c>
      <c r="K25" s="14" t="n">
        <f aca="false">I25-J25</f>
        <v>201829.49</v>
      </c>
      <c r="L25" s="13" t="n">
        <v>73911.9</v>
      </c>
      <c r="M25" s="14" t="n">
        <f aca="false">K25-L25</f>
        <v>127917.59</v>
      </c>
      <c r="N25" s="13" t="n">
        <v>9171.23</v>
      </c>
      <c r="O25" s="13" t="n">
        <v>3234.4</v>
      </c>
      <c r="P25" s="13" t="n">
        <v>27722.87</v>
      </c>
      <c r="Q25" s="14" t="n">
        <f aca="false">M25-N25-O25-P25</f>
        <v>87789.09</v>
      </c>
      <c r="R25" s="15" t="n">
        <f aca="false">IFERROR(K25/I25,0)</f>
        <v>0.770238141306064</v>
      </c>
      <c r="S25" s="15" t="n">
        <f aca="false">IFERROR(M25/I25,0)</f>
        <v>0.48816952746574</v>
      </c>
      <c r="T25" s="15" t="n">
        <f aca="false">IFERROR(Q25/I25,0)</f>
        <v>0.3350278767912</v>
      </c>
      <c r="U25" s="13" t="n">
        <v>254709.24</v>
      </c>
      <c r="V25" s="14" t="n">
        <f aca="false">I25</f>
        <v>262035.18</v>
      </c>
      <c r="W25" s="13" t="n">
        <v>132448.8</v>
      </c>
      <c r="X25" s="14" t="n">
        <f aca="false">J25+L25</f>
        <v>134117.59</v>
      </c>
      <c r="Y25" s="14" t="n">
        <f aca="false">V25-U25</f>
        <v>7325.94</v>
      </c>
      <c r="Z25" s="13" t="n">
        <v>358725.2</v>
      </c>
      <c r="AA25" s="13" t="n">
        <v>79268.94</v>
      </c>
      <c r="AB25" s="13" t="n">
        <v>269379.43</v>
      </c>
      <c r="AC25" s="14" t="n">
        <f aca="false">Z25-AA25</f>
        <v>279456.26</v>
      </c>
    </row>
    <row r="26" customFormat="false" ht="15" hidden="false" customHeight="false" outlineLevel="0" collapsed="false">
      <c r="A26" s="11" t="n">
        <v>45292</v>
      </c>
      <c r="B26" s="12" t="s">
        <v>40</v>
      </c>
      <c r="C26" s="12" t="s">
        <v>41</v>
      </c>
      <c r="D26" s="12" t="n">
        <v>2024</v>
      </c>
      <c r="E26" s="12" t="s">
        <v>60</v>
      </c>
      <c r="F26" s="12" t="s">
        <v>43</v>
      </c>
      <c r="G26" s="12" t="s">
        <v>61</v>
      </c>
      <c r="H26" s="12" t="s">
        <v>62</v>
      </c>
      <c r="I26" s="13" t="n">
        <v>55649.55</v>
      </c>
      <c r="J26" s="13" t="n">
        <v>19694.69</v>
      </c>
      <c r="K26" s="14" t="n">
        <f aca="false">I26-J26</f>
        <v>35954.86</v>
      </c>
      <c r="L26" s="13" t="n">
        <v>14478.46</v>
      </c>
      <c r="M26" s="14" t="n">
        <f aca="false">K26-L26</f>
        <v>21476.4</v>
      </c>
      <c r="N26" s="13" t="n">
        <v>1669.49</v>
      </c>
      <c r="O26" s="13" t="n">
        <v>5197.56</v>
      </c>
      <c r="P26" s="13" t="n">
        <v>3506.24</v>
      </c>
      <c r="Q26" s="14" t="n">
        <f aca="false">M26-N26-O26-P26</f>
        <v>11103.11</v>
      </c>
      <c r="R26" s="15" t="n">
        <f aca="false">IFERROR(K26/I26,0)</f>
        <v>0.64609435296422</v>
      </c>
      <c r="S26" s="15" t="n">
        <f aca="false">IFERROR(M26/I26,0)</f>
        <v>0.385922258131467</v>
      </c>
      <c r="T26" s="15" t="n">
        <f aca="false">IFERROR(Q26/I26,0)</f>
        <v>0.19951841479401</v>
      </c>
      <c r="U26" s="13" t="n">
        <v>62000</v>
      </c>
      <c r="V26" s="14" t="n">
        <f aca="false">I26</f>
        <v>55649.55</v>
      </c>
      <c r="W26" s="13" t="n">
        <v>35960</v>
      </c>
      <c r="X26" s="14" t="n">
        <f aca="false">J26+L26</f>
        <v>34173.15</v>
      </c>
      <c r="Y26" s="14" t="n">
        <f aca="false">V26-U26</f>
        <v>-6350.45</v>
      </c>
      <c r="Z26" s="13" t="n">
        <v>72858.07</v>
      </c>
      <c r="AA26" s="13" t="n">
        <v>15157.49</v>
      </c>
      <c r="AB26" s="13" t="n">
        <v>263706.62</v>
      </c>
      <c r="AC26" s="14" t="n">
        <f aca="false">Z26-AA26</f>
        <v>57700.58</v>
      </c>
    </row>
    <row r="27" customFormat="false" ht="15" hidden="false" customHeight="false" outlineLevel="0" collapsed="false">
      <c r="A27" s="11" t="n">
        <v>45323</v>
      </c>
      <c r="B27" s="12" t="s">
        <v>46</v>
      </c>
      <c r="C27" s="12" t="s">
        <v>41</v>
      </c>
      <c r="D27" s="12" t="n">
        <v>2024</v>
      </c>
      <c r="E27" s="12" t="s">
        <v>60</v>
      </c>
      <c r="F27" s="12" t="s">
        <v>43</v>
      </c>
      <c r="G27" s="12" t="s">
        <v>61</v>
      </c>
      <c r="H27" s="12" t="s">
        <v>62</v>
      </c>
      <c r="I27" s="13" t="n">
        <v>59632.61</v>
      </c>
      <c r="J27" s="13" t="n">
        <v>20965.38</v>
      </c>
      <c r="K27" s="14" t="n">
        <f aca="false">I27-J27</f>
        <v>38667.23</v>
      </c>
      <c r="L27" s="13" t="n">
        <v>16333.69</v>
      </c>
      <c r="M27" s="14" t="n">
        <f aca="false">K27-L27</f>
        <v>22333.54</v>
      </c>
      <c r="N27" s="13" t="n">
        <v>1788.98</v>
      </c>
      <c r="O27" s="13" t="n">
        <v>1999.36</v>
      </c>
      <c r="P27" s="13" t="n">
        <v>4450.85</v>
      </c>
      <c r="Q27" s="14" t="n">
        <f aca="false">M27-N27-O27-P27</f>
        <v>14094.35</v>
      </c>
      <c r="R27" s="15" t="n">
        <f aca="false">IFERROR(K27/I27,0)</f>
        <v>0.6484242430442</v>
      </c>
      <c r="S27" s="15" t="n">
        <f aca="false">IFERROR(M27/I27,0)</f>
        <v>0.374518908362388</v>
      </c>
      <c r="T27" s="15" t="n">
        <f aca="false">IFERROR(Q27/I27,0)</f>
        <v>0.236353062527365</v>
      </c>
      <c r="U27" s="13" t="n">
        <v>62620</v>
      </c>
      <c r="V27" s="14" t="n">
        <f aca="false">I27</f>
        <v>59632.61</v>
      </c>
      <c r="W27" s="13" t="n">
        <v>36319.6</v>
      </c>
      <c r="X27" s="14" t="n">
        <f aca="false">J27+L27</f>
        <v>37299.07</v>
      </c>
      <c r="Y27" s="14" t="n">
        <f aca="false">V27-U27</f>
        <v>-2987.39</v>
      </c>
      <c r="Z27" s="13" t="n">
        <v>74620.47</v>
      </c>
      <c r="AA27" s="13" t="n">
        <v>17126.38</v>
      </c>
      <c r="AB27" s="13" t="n">
        <v>269963.48</v>
      </c>
      <c r="AC27" s="14" t="n">
        <f aca="false">Z27-AA27</f>
        <v>57494.09</v>
      </c>
    </row>
    <row r="28" customFormat="false" ht="15" hidden="false" customHeight="false" outlineLevel="0" collapsed="false">
      <c r="A28" s="11" t="n">
        <v>45352</v>
      </c>
      <c r="B28" s="12" t="s">
        <v>47</v>
      </c>
      <c r="C28" s="12" t="s">
        <v>41</v>
      </c>
      <c r="D28" s="12" t="n">
        <v>2024</v>
      </c>
      <c r="E28" s="12" t="s">
        <v>60</v>
      </c>
      <c r="F28" s="12" t="s">
        <v>43</v>
      </c>
      <c r="G28" s="12" t="s">
        <v>61</v>
      </c>
      <c r="H28" s="12" t="s">
        <v>62</v>
      </c>
      <c r="I28" s="13" t="n">
        <v>62665.29</v>
      </c>
      <c r="J28" s="13" t="n">
        <v>23490.59</v>
      </c>
      <c r="K28" s="14" t="n">
        <f aca="false">I28-J28</f>
        <v>39174.7</v>
      </c>
      <c r="L28" s="13" t="n">
        <v>13966.18</v>
      </c>
      <c r="M28" s="14" t="n">
        <f aca="false">K28-L28</f>
        <v>25208.52</v>
      </c>
      <c r="N28" s="13" t="n">
        <v>1879.96</v>
      </c>
      <c r="O28" s="13" t="n">
        <v>5054.88</v>
      </c>
      <c r="P28" s="13" t="n">
        <v>4385.68</v>
      </c>
      <c r="Q28" s="14" t="n">
        <f aca="false">M28-N28-O28-P28</f>
        <v>13888</v>
      </c>
      <c r="R28" s="15" t="n">
        <f aca="false">IFERROR(K28/I28,0)</f>
        <v>0.625141924660366</v>
      </c>
      <c r="S28" s="15" t="n">
        <f aca="false">IFERROR(M28/I28,0)</f>
        <v>0.402272454176786</v>
      </c>
      <c r="T28" s="15" t="n">
        <f aca="false">IFERROR(Q28/I28,0)</f>
        <v>0.221621889885134</v>
      </c>
      <c r="U28" s="13" t="n">
        <v>63246.2</v>
      </c>
      <c r="V28" s="14" t="n">
        <f aca="false">I28</f>
        <v>62665.29</v>
      </c>
      <c r="W28" s="13" t="n">
        <v>36682.8</v>
      </c>
      <c r="X28" s="14" t="n">
        <f aca="false">J28+L28</f>
        <v>37456.77</v>
      </c>
      <c r="Y28" s="14" t="n">
        <f aca="false">V28-U28</f>
        <v>-580.909999999996</v>
      </c>
      <c r="Z28" s="13" t="n">
        <v>83308.5</v>
      </c>
      <c r="AA28" s="13" t="n">
        <v>14044.07</v>
      </c>
      <c r="AB28" s="13" t="n">
        <v>270425.84</v>
      </c>
      <c r="AC28" s="14" t="n">
        <f aca="false">Z28-AA28</f>
        <v>69264.43</v>
      </c>
    </row>
    <row r="29" customFormat="false" ht="15" hidden="false" customHeight="false" outlineLevel="0" collapsed="false">
      <c r="A29" s="11" t="n">
        <v>45383</v>
      </c>
      <c r="B29" s="12" t="s">
        <v>48</v>
      </c>
      <c r="C29" s="12" t="s">
        <v>49</v>
      </c>
      <c r="D29" s="12" t="n">
        <v>2024</v>
      </c>
      <c r="E29" s="12" t="s">
        <v>60</v>
      </c>
      <c r="F29" s="12" t="s">
        <v>43</v>
      </c>
      <c r="G29" s="12" t="s">
        <v>61</v>
      </c>
      <c r="H29" s="12" t="s">
        <v>62</v>
      </c>
      <c r="I29" s="13" t="n">
        <v>61881.07</v>
      </c>
      <c r="J29" s="13" t="n">
        <v>20097.16</v>
      </c>
      <c r="K29" s="14" t="n">
        <f aca="false">I29-J29</f>
        <v>41783.91</v>
      </c>
      <c r="L29" s="13" t="n">
        <v>18244.36</v>
      </c>
      <c r="M29" s="14" t="n">
        <f aca="false">K29-L29</f>
        <v>23539.55</v>
      </c>
      <c r="N29" s="13" t="n">
        <v>1856.43</v>
      </c>
      <c r="O29" s="13" t="n">
        <v>4343.12</v>
      </c>
      <c r="P29" s="13" t="n">
        <v>4161.6</v>
      </c>
      <c r="Q29" s="14" t="n">
        <f aca="false">M29-N29-O29-P29</f>
        <v>13178.4</v>
      </c>
      <c r="R29" s="15" t="n">
        <f aca="false">IFERROR(K29/I29,0)</f>
        <v>0.675229274477639</v>
      </c>
      <c r="S29" s="15" t="n">
        <f aca="false">IFERROR(M29/I29,0)</f>
        <v>0.380399854107242</v>
      </c>
      <c r="T29" s="15" t="n">
        <f aca="false">IFERROR(Q29/I29,0)</f>
        <v>0.212963350504444</v>
      </c>
      <c r="U29" s="13" t="n">
        <v>63878.66</v>
      </c>
      <c r="V29" s="14" t="n">
        <f aca="false">I29</f>
        <v>61881.07</v>
      </c>
      <c r="W29" s="13" t="n">
        <v>37049.62</v>
      </c>
      <c r="X29" s="14" t="n">
        <f aca="false">J29+L29</f>
        <v>38341.52</v>
      </c>
      <c r="Y29" s="14" t="n">
        <f aca="false">V29-U29</f>
        <v>-1997.59</v>
      </c>
      <c r="Z29" s="13" t="n">
        <v>74911.63</v>
      </c>
      <c r="AA29" s="13" t="n">
        <v>18397.94</v>
      </c>
      <c r="AB29" s="13" t="n">
        <v>268281</v>
      </c>
      <c r="AC29" s="14" t="n">
        <f aca="false">Z29-AA29</f>
        <v>56513.69</v>
      </c>
    </row>
    <row r="30" customFormat="false" ht="15" hidden="false" customHeight="false" outlineLevel="0" collapsed="false">
      <c r="A30" s="11" t="n">
        <v>45413</v>
      </c>
      <c r="B30" s="12" t="s">
        <v>50</v>
      </c>
      <c r="C30" s="12" t="s">
        <v>49</v>
      </c>
      <c r="D30" s="12" t="n">
        <v>2024</v>
      </c>
      <c r="E30" s="12" t="s">
        <v>60</v>
      </c>
      <c r="F30" s="12" t="s">
        <v>43</v>
      </c>
      <c r="G30" s="12" t="s">
        <v>61</v>
      </c>
      <c r="H30" s="12" t="s">
        <v>62</v>
      </c>
      <c r="I30" s="13" t="n">
        <v>57573.33</v>
      </c>
      <c r="J30" s="13" t="n">
        <v>19534.57</v>
      </c>
      <c r="K30" s="14" t="n">
        <f aca="false">I30-J30</f>
        <v>38038.76</v>
      </c>
      <c r="L30" s="13" t="n">
        <v>17839.78</v>
      </c>
      <c r="M30" s="14" t="n">
        <f aca="false">K30-L30</f>
        <v>20198.98</v>
      </c>
      <c r="N30" s="13" t="n">
        <v>1727.2</v>
      </c>
      <c r="O30" s="13" t="n">
        <v>2072.38</v>
      </c>
      <c r="P30" s="13" t="n">
        <v>3935.86</v>
      </c>
      <c r="Q30" s="14" t="n">
        <f aca="false">M30-N30-O30-P30</f>
        <v>12463.54</v>
      </c>
      <c r="R30" s="15" t="n">
        <f aca="false">IFERROR(K30/I30,0)</f>
        <v>0.660701057242998</v>
      </c>
      <c r="S30" s="15" t="n">
        <f aca="false">IFERROR(M30/I30,0)</f>
        <v>0.350839181961509</v>
      </c>
      <c r="T30" s="15" t="n">
        <f aca="false">IFERROR(Q30/I30,0)</f>
        <v>0.216481138054721</v>
      </c>
      <c r="U30" s="13" t="n">
        <v>64517.45</v>
      </c>
      <c r="V30" s="14" t="n">
        <f aca="false">I30</f>
        <v>57573.33</v>
      </c>
      <c r="W30" s="13" t="n">
        <v>37420.12</v>
      </c>
      <c r="X30" s="14" t="n">
        <f aca="false">J30+L30</f>
        <v>37374.35</v>
      </c>
      <c r="Y30" s="14" t="n">
        <f aca="false">V30-U30</f>
        <v>-6944.12</v>
      </c>
      <c r="Z30" s="13" t="n">
        <v>70635.06</v>
      </c>
      <c r="AA30" s="13" t="n">
        <v>18009.32</v>
      </c>
      <c r="AB30" s="13" t="n">
        <v>267574.92</v>
      </c>
      <c r="AC30" s="14" t="n">
        <f aca="false">Z30-AA30</f>
        <v>52625.74</v>
      </c>
    </row>
    <row r="31" customFormat="false" ht="15" hidden="false" customHeight="false" outlineLevel="0" collapsed="false">
      <c r="A31" s="11" t="n">
        <v>45444</v>
      </c>
      <c r="B31" s="12" t="s">
        <v>51</v>
      </c>
      <c r="C31" s="12" t="s">
        <v>49</v>
      </c>
      <c r="D31" s="12" t="n">
        <v>2024</v>
      </c>
      <c r="E31" s="12" t="s">
        <v>60</v>
      </c>
      <c r="F31" s="12" t="s">
        <v>43</v>
      </c>
      <c r="G31" s="12" t="s">
        <v>61</v>
      </c>
      <c r="H31" s="12" t="s">
        <v>62</v>
      </c>
      <c r="I31" s="13" t="n">
        <v>62822.5</v>
      </c>
      <c r="J31" s="13" t="n">
        <v>23286.49</v>
      </c>
      <c r="K31" s="14" t="n">
        <f aca="false">I31-J31</f>
        <v>39536.01</v>
      </c>
      <c r="L31" s="13" t="n">
        <v>17521.56</v>
      </c>
      <c r="M31" s="14" t="n">
        <f aca="false">K31-L31</f>
        <v>22014.45</v>
      </c>
      <c r="N31" s="13" t="n">
        <v>1884.67</v>
      </c>
      <c r="O31" s="13" t="n">
        <v>3905.9</v>
      </c>
      <c r="P31" s="13" t="n">
        <v>3893.73</v>
      </c>
      <c r="Q31" s="14" t="n">
        <f aca="false">M31-N31-O31-P31</f>
        <v>12330.15</v>
      </c>
      <c r="R31" s="15" t="n">
        <f aca="false">IFERROR(K31/I31,0)</f>
        <v>0.629328823271917</v>
      </c>
      <c r="S31" s="15" t="n">
        <f aca="false">IFERROR(M31/I31,0)</f>
        <v>0.350423017231088</v>
      </c>
      <c r="T31" s="15" t="n">
        <f aca="false">IFERROR(Q31/I31,0)</f>
        <v>0.196269648613156</v>
      </c>
      <c r="U31" s="13" t="n">
        <v>65162.62</v>
      </c>
      <c r="V31" s="14" t="n">
        <f aca="false">I31</f>
        <v>62822.5</v>
      </c>
      <c r="W31" s="13" t="n">
        <v>37794.32</v>
      </c>
      <c r="X31" s="14" t="n">
        <f aca="false">J31+L31</f>
        <v>40808.05</v>
      </c>
      <c r="Y31" s="14" t="n">
        <f aca="false">V31-U31</f>
        <v>-2340.12</v>
      </c>
      <c r="Z31" s="13" t="n">
        <v>78932.4</v>
      </c>
      <c r="AA31" s="13" t="n">
        <v>17668.17</v>
      </c>
      <c r="AB31" s="13" t="n">
        <v>275833.66</v>
      </c>
      <c r="AC31" s="14" t="n">
        <f aca="false">Z31-AA31</f>
        <v>61264.23</v>
      </c>
    </row>
    <row r="32" customFormat="false" ht="15" hidden="false" customHeight="false" outlineLevel="0" collapsed="false">
      <c r="A32" s="11" t="n">
        <v>45474</v>
      </c>
      <c r="B32" s="12" t="s">
        <v>52</v>
      </c>
      <c r="C32" s="12" t="s">
        <v>53</v>
      </c>
      <c r="D32" s="12" t="n">
        <v>2024</v>
      </c>
      <c r="E32" s="12" t="s">
        <v>60</v>
      </c>
      <c r="F32" s="12" t="s">
        <v>43</v>
      </c>
      <c r="G32" s="12" t="s">
        <v>61</v>
      </c>
      <c r="H32" s="12" t="s">
        <v>62</v>
      </c>
      <c r="I32" s="13" t="n">
        <v>57444.29</v>
      </c>
      <c r="J32" s="13" t="n">
        <v>19148.16</v>
      </c>
      <c r="K32" s="14" t="n">
        <f aca="false">I32-J32</f>
        <v>38296.13</v>
      </c>
      <c r="L32" s="13" t="n">
        <v>16761.72</v>
      </c>
      <c r="M32" s="14" t="n">
        <f aca="false">K32-L32</f>
        <v>21534.41</v>
      </c>
      <c r="N32" s="13" t="n">
        <v>1723.33</v>
      </c>
      <c r="O32" s="13" t="n">
        <v>2611.53</v>
      </c>
      <c r="P32" s="13" t="n">
        <v>4127.89</v>
      </c>
      <c r="Q32" s="14" t="n">
        <f aca="false">M32-N32-O32-P32</f>
        <v>13071.66</v>
      </c>
      <c r="R32" s="15" t="n">
        <f aca="false">IFERROR(K32/I32,0)</f>
        <v>0.666665564149196</v>
      </c>
      <c r="S32" s="15" t="n">
        <f aca="false">IFERROR(M32/I32,0)</f>
        <v>0.374874682931933</v>
      </c>
      <c r="T32" s="15" t="n">
        <f aca="false">IFERROR(Q32/I32,0)</f>
        <v>0.227553687233318</v>
      </c>
      <c r="U32" s="13" t="n">
        <v>65814.25</v>
      </c>
      <c r="V32" s="14" t="n">
        <f aca="false">I32</f>
        <v>57444.29</v>
      </c>
      <c r="W32" s="13" t="n">
        <v>38172.26</v>
      </c>
      <c r="X32" s="14" t="n">
        <f aca="false">J32+L32</f>
        <v>35909.88</v>
      </c>
      <c r="Y32" s="14" t="n">
        <f aca="false">V32-U32</f>
        <v>-8369.96</v>
      </c>
      <c r="Z32" s="13" t="n">
        <v>72004.48</v>
      </c>
      <c r="AA32" s="13" t="n">
        <v>17049.5</v>
      </c>
      <c r="AB32" s="13" t="n">
        <v>275450.81</v>
      </c>
      <c r="AC32" s="14" t="n">
        <f aca="false">Z32-AA32</f>
        <v>54954.98</v>
      </c>
    </row>
    <row r="33" customFormat="false" ht="15" hidden="false" customHeight="false" outlineLevel="0" collapsed="false">
      <c r="A33" s="11" t="n">
        <v>45505</v>
      </c>
      <c r="B33" s="12" t="s">
        <v>54</v>
      </c>
      <c r="C33" s="12" t="s">
        <v>53</v>
      </c>
      <c r="D33" s="12" t="n">
        <v>2024</v>
      </c>
      <c r="E33" s="12" t="s">
        <v>60</v>
      </c>
      <c r="F33" s="12" t="s">
        <v>43</v>
      </c>
      <c r="G33" s="12" t="s">
        <v>61</v>
      </c>
      <c r="H33" s="12" t="s">
        <v>62</v>
      </c>
      <c r="I33" s="13" t="n">
        <v>69503.85</v>
      </c>
      <c r="J33" s="13" t="n">
        <v>23637.63</v>
      </c>
      <c r="K33" s="14" t="n">
        <f aca="false">I33-J33</f>
        <v>45866.22</v>
      </c>
      <c r="L33" s="13" t="n">
        <v>14632.78</v>
      </c>
      <c r="M33" s="14" t="n">
        <f aca="false">K33-L33</f>
        <v>31233.44</v>
      </c>
      <c r="N33" s="13" t="n">
        <v>2085.12</v>
      </c>
      <c r="O33" s="13" t="n">
        <v>5186.73</v>
      </c>
      <c r="P33" s="13" t="n">
        <v>5750.78</v>
      </c>
      <c r="Q33" s="14" t="n">
        <f aca="false">M33-N33-O33-P33</f>
        <v>18210.81</v>
      </c>
      <c r="R33" s="15" t="n">
        <f aca="false">IFERROR(K33/I33,0)</f>
        <v>0.659909055397651</v>
      </c>
      <c r="S33" s="15" t="n">
        <f aca="false">IFERROR(M33/I33,0)</f>
        <v>0.449377120835752</v>
      </c>
      <c r="T33" s="15" t="n">
        <f aca="false">IFERROR(Q33/I33,0)</f>
        <v>0.262011528857754</v>
      </c>
      <c r="U33" s="13" t="n">
        <v>66472.39</v>
      </c>
      <c r="V33" s="14" t="n">
        <f aca="false">I33</f>
        <v>69503.85</v>
      </c>
      <c r="W33" s="13" t="n">
        <v>38553.99</v>
      </c>
      <c r="X33" s="14" t="n">
        <f aca="false">J33+L33</f>
        <v>38270.41</v>
      </c>
      <c r="Y33" s="14" t="n">
        <f aca="false">V33-U33</f>
        <v>3031.46000000001</v>
      </c>
      <c r="Z33" s="13" t="n">
        <v>84281.27</v>
      </c>
      <c r="AA33" s="13" t="n">
        <v>14213.05</v>
      </c>
      <c r="AB33" s="13" t="n">
        <v>281688.36</v>
      </c>
      <c r="AC33" s="14" t="n">
        <f aca="false">Z33-AA33</f>
        <v>70068.22</v>
      </c>
    </row>
    <row r="34" customFormat="false" ht="15" hidden="false" customHeight="false" outlineLevel="0" collapsed="false">
      <c r="A34" s="11" t="n">
        <v>45536</v>
      </c>
      <c r="B34" s="12" t="s">
        <v>55</v>
      </c>
      <c r="C34" s="12" t="s">
        <v>53</v>
      </c>
      <c r="D34" s="12" t="n">
        <v>2024</v>
      </c>
      <c r="E34" s="12" t="s">
        <v>60</v>
      </c>
      <c r="F34" s="12" t="s">
        <v>43</v>
      </c>
      <c r="G34" s="12" t="s">
        <v>61</v>
      </c>
      <c r="H34" s="12" t="s">
        <v>62</v>
      </c>
      <c r="I34" s="13" t="n">
        <v>66317.79</v>
      </c>
      <c r="J34" s="13" t="n">
        <v>25620.12</v>
      </c>
      <c r="K34" s="14" t="n">
        <f aca="false">I34-J34</f>
        <v>40697.67</v>
      </c>
      <c r="L34" s="13" t="n">
        <v>17755.18</v>
      </c>
      <c r="M34" s="14" t="n">
        <f aca="false">K34-L34</f>
        <v>22942.49</v>
      </c>
      <c r="N34" s="13" t="n">
        <v>1989.53</v>
      </c>
      <c r="O34" s="13" t="n">
        <v>3056.39</v>
      </c>
      <c r="P34" s="13" t="n">
        <v>4295.18</v>
      </c>
      <c r="Q34" s="14" t="n">
        <f aca="false">M34-N34-O34-P34</f>
        <v>13601.39</v>
      </c>
      <c r="R34" s="15" t="n">
        <f aca="false">IFERROR(K34/I34,0)</f>
        <v>0.613676511234768</v>
      </c>
      <c r="S34" s="15" t="n">
        <f aca="false">IFERROR(M34/I34,0)</f>
        <v>0.345947746449331</v>
      </c>
      <c r="T34" s="15" t="n">
        <f aca="false">IFERROR(Q34/I34,0)</f>
        <v>0.205094138390317</v>
      </c>
      <c r="U34" s="13" t="n">
        <v>67137.12</v>
      </c>
      <c r="V34" s="14" t="n">
        <f aca="false">I34</f>
        <v>66317.79</v>
      </c>
      <c r="W34" s="13" t="n">
        <v>38939.53</v>
      </c>
      <c r="X34" s="14" t="n">
        <f aca="false">J34+L34</f>
        <v>43375.3</v>
      </c>
      <c r="Y34" s="14" t="n">
        <f aca="false">V34-U34</f>
        <v>-819.330000000002</v>
      </c>
      <c r="Z34" s="13" t="n">
        <v>81127.52</v>
      </c>
      <c r="AA34" s="13" t="n">
        <v>18347.75</v>
      </c>
      <c r="AB34" s="13" t="n">
        <v>280585.06</v>
      </c>
      <c r="AC34" s="14" t="n">
        <f aca="false">Z34-AA34</f>
        <v>62779.77</v>
      </c>
    </row>
    <row r="35" customFormat="false" ht="15" hidden="false" customHeight="false" outlineLevel="0" collapsed="false">
      <c r="A35" s="11" t="n">
        <v>45566</v>
      </c>
      <c r="B35" s="12" t="s">
        <v>56</v>
      </c>
      <c r="C35" s="12" t="s">
        <v>57</v>
      </c>
      <c r="D35" s="12" t="n">
        <v>2024</v>
      </c>
      <c r="E35" s="12" t="s">
        <v>60</v>
      </c>
      <c r="F35" s="12" t="s">
        <v>43</v>
      </c>
      <c r="G35" s="12" t="s">
        <v>61</v>
      </c>
      <c r="H35" s="12" t="s">
        <v>62</v>
      </c>
      <c r="I35" s="13" t="n">
        <v>62895.84</v>
      </c>
      <c r="J35" s="13" t="n">
        <v>23211.32</v>
      </c>
      <c r="K35" s="14" t="n">
        <f aca="false">I35-J35</f>
        <v>39684.52</v>
      </c>
      <c r="L35" s="13" t="n">
        <v>16560.76</v>
      </c>
      <c r="M35" s="14" t="n">
        <f aca="false">K35-L35</f>
        <v>23123.76</v>
      </c>
      <c r="N35" s="13" t="n">
        <v>1886.88</v>
      </c>
      <c r="O35" s="13" t="n">
        <v>2817.89</v>
      </c>
      <c r="P35" s="13" t="n">
        <v>4420.56</v>
      </c>
      <c r="Q35" s="14" t="n">
        <f aca="false">M35-N35-O35-P35</f>
        <v>13998.43</v>
      </c>
      <c r="R35" s="15" t="n">
        <f aca="false">IFERROR(K35/I35,0)</f>
        <v>0.630956196785034</v>
      </c>
      <c r="S35" s="15" t="n">
        <f aca="false">IFERROR(M35/I35,0)</f>
        <v>0.367651660268787</v>
      </c>
      <c r="T35" s="15" t="n">
        <f aca="false">IFERROR(Q35/I35,0)</f>
        <v>0.222565276177248</v>
      </c>
      <c r="U35" s="13" t="n">
        <v>67808.49</v>
      </c>
      <c r="V35" s="14" t="n">
        <f aca="false">I35</f>
        <v>62895.84</v>
      </c>
      <c r="W35" s="13" t="n">
        <v>39328.92</v>
      </c>
      <c r="X35" s="14" t="n">
        <f aca="false">J35+L35</f>
        <v>39772.08</v>
      </c>
      <c r="Y35" s="14" t="n">
        <f aca="false">V35-U35</f>
        <v>-4912.65000000001</v>
      </c>
      <c r="Z35" s="13" t="n">
        <v>80969.75</v>
      </c>
      <c r="AA35" s="13" t="n">
        <v>17287.66</v>
      </c>
      <c r="AB35" s="13" t="n">
        <v>282215.64</v>
      </c>
      <c r="AC35" s="14" t="n">
        <f aca="false">Z35-AA35</f>
        <v>63682.09</v>
      </c>
    </row>
    <row r="36" customFormat="false" ht="15" hidden="false" customHeight="false" outlineLevel="0" collapsed="false">
      <c r="A36" s="11" t="n">
        <v>45597</v>
      </c>
      <c r="B36" s="12" t="s">
        <v>58</v>
      </c>
      <c r="C36" s="12" t="s">
        <v>57</v>
      </c>
      <c r="D36" s="12" t="n">
        <v>2024</v>
      </c>
      <c r="E36" s="12" t="s">
        <v>60</v>
      </c>
      <c r="F36" s="12" t="s">
        <v>43</v>
      </c>
      <c r="G36" s="12" t="s">
        <v>61</v>
      </c>
      <c r="H36" s="12" t="s">
        <v>62</v>
      </c>
      <c r="I36" s="13" t="n">
        <v>69726.54</v>
      </c>
      <c r="J36" s="13" t="n">
        <v>24223.08</v>
      </c>
      <c r="K36" s="14" t="n">
        <f aca="false">I36-J36</f>
        <v>45503.46</v>
      </c>
      <c r="L36" s="13" t="n">
        <v>18008.02</v>
      </c>
      <c r="M36" s="14" t="n">
        <f aca="false">K36-L36</f>
        <v>27495.44</v>
      </c>
      <c r="N36" s="13" t="n">
        <v>2091.8</v>
      </c>
      <c r="O36" s="13" t="n">
        <v>2725.98</v>
      </c>
      <c r="P36" s="13" t="n">
        <v>5442.64</v>
      </c>
      <c r="Q36" s="14" t="n">
        <f aca="false">M36-N36-O36-P36</f>
        <v>17235.02</v>
      </c>
      <c r="R36" s="15" t="n">
        <f aca="false">IFERROR(K36/I36,0)</f>
        <v>0.652598852603327</v>
      </c>
      <c r="S36" s="15" t="n">
        <f aca="false">IFERROR(M36/I36,0)</f>
        <v>0.3943324880311</v>
      </c>
      <c r="T36" s="15" t="n">
        <f aca="false">IFERROR(Q36/I36,0)</f>
        <v>0.247180198529857</v>
      </c>
      <c r="U36" s="13" t="n">
        <v>68486.57</v>
      </c>
      <c r="V36" s="14" t="n">
        <f aca="false">I36</f>
        <v>69726.54</v>
      </c>
      <c r="W36" s="13" t="n">
        <v>39722.21</v>
      </c>
      <c r="X36" s="14" t="n">
        <f aca="false">J36+L36</f>
        <v>42231.1</v>
      </c>
      <c r="Y36" s="14" t="n">
        <f aca="false">V36-U36</f>
        <v>1239.96999999999</v>
      </c>
      <c r="Z36" s="13" t="n">
        <v>89246.14</v>
      </c>
      <c r="AA36" s="13" t="n">
        <v>18399.9</v>
      </c>
      <c r="AB36" s="13" t="n">
        <v>285645.56</v>
      </c>
      <c r="AC36" s="14" t="n">
        <f aca="false">Z36-AA36</f>
        <v>70846.24</v>
      </c>
    </row>
    <row r="37" customFormat="false" ht="15" hidden="false" customHeight="false" outlineLevel="0" collapsed="false">
      <c r="A37" s="11" t="n">
        <v>45627</v>
      </c>
      <c r="B37" s="12" t="s">
        <v>59</v>
      </c>
      <c r="C37" s="12" t="s">
        <v>57</v>
      </c>
      <c r="D37" s="12" t="n">
        <v>2024</v>
      </c>
      <c r="E37" s="12" t="s">
        <v>60</v>
      </c>
      <c r="F37" s="12" t="s">
        <v>43</v>
      </c>
      <c r="G37" s="12" t="s">
        <v>61</v>
      </c>
      <c r="H37" s="12" t="s">
        <v>62</v>
      </c>
      <c r="I37" s="13" t="n">
        <v>74339.5</v>
      </c>
      <c r="J37" s="13" t="n">
        <v>25124.35</v>
      </c>
      <c r="K37" s="14" t="n">
        <f aca="false">I37-J37</f>
        <v>49215.15</v>
      </c>
      <c r="L37" s="13" t="n">
        <v>18634.35</v>
      </c>
      <c r="M37" s="14" t="n">
        <f aca="false">K37-L37</f>
        <v>30580.8</v>
      </c>
      <c r="N37" s="13" t="n">
        <v>2230.18</v>
      </c>
      <c r="O37" s="13" t="n">
        <v>2113.81</v>
      </c>
      <c r="P37" s="13" t="n">
        <v>6296.83</v>
      </c>
      <c r="Q37" s="14" t="n">
        <f aca="false">M37-N37-O37-P37</f>
        <v>19939.98</v>
      </c>
      <c r="R37" s="15" t="n">
        <f aca="false">IFERROR(K37/I37,0)</f>
        <v>0.662032297769019</v>
      </c>
      <c r="S37" s="15" t="n">
        <f aca="false">IFERROR(M37/I37,0)</f>
        <v>0.411366770021321</v>
      </c>
      <c r="T37" s="15" t="n">
        <f aca="false">IFERROR(Q37/I37,0)</f>
        <v>0.268228599869518</v>
      </c>
      <c r="U37" s="13" t="n">
        <v>69171.44</v>
      </c>
      <c r="V37" s="14" t="n">
        <f aca="false">I37</f>
        <v>74339.5</v>
      </c>
      <c r="W37" s="13" t="n">
        <v>40119.43</v>
      </c>
      <c r="X37" s="14" t="n">
        <f aca="false">J37+L37</f>
        <v>43758.7</v>
      </c>
      <c r="Y37" s="14" t="n">
        <f aca="false">V37-U37</f>
        <v>5168.06</v>
      </c>
      <c r="Z37" s="13" t="n">
        <v>93443.73</v>
      </c>
      <c r="AA37" s="13" t="n">
        <v>18218.21</v>
      </c>
      <c r="AB37" s="13" t="n">
        <v>280595</v>
      </c>
      <c r="AC37" s="14" t="n">
        <f aca="false">Z37-AA37</f>
        <v>75225.52</v>
      </c>
    </row>
    <row r="38" customFormat="false" ht="15" hidden="false" customHeight="false" outlineLevel="0" collapsed="false">
      <c r="A38" s="11" t="n">
        <v>45658</v>
      </c>
      <c r="B38" s="12" t="s">
        <v>40</v>
      </c>
      <c r="C38" s="12" t="s">
        <v>41</v>
      </c>
      <c r="D38" s="12" t="n">
        <v>2025</v>
      </c>
      <c r="E38" s="12" t="s">
        <v>60</v>
      </c>
      <c r="F38" s="12" t="s">
        <v>43</v>
      </c>
      <c r="G38" s="12" t="s">
        <v>61</v>
      </c>
      <c r="H38" s="12" t="s">
        <v>62</v>
      </c>
      <c r="I38" s="13" t="n">
        <v>76460.18</v>
      </c>
      <c r="J38" s="13" t="n">
        <v>26054.96</v>
      </c>
      <c r="K38" s="14" t="n">
        <f aca="false">I38-J38</f>
        <v>50405.22</v>
      </c>
      <c r="L38" s="13" t="n">
        <v>15915.4</v>
      </c>
      <c r="M38" s="14" t="n">
        <f aca="false">K38-L38</f>
        <v>34489.82</v>
      </c>
      <c r="N38" s="13" t="n">
        <v>2293.81</v>
      </c>
      <c r="O38" s="13" t="n">
        <v>4320.19</v>
      </c>
      <c r="P38" s="13" t="n">
        <v>6690.2</v>
      </c>
      <c r="Q38" s="14" t="n">
        <f aca="false">M38-N38-O38-P38</f>
        <v>21185.62</v>
      </c>
      <c r="R38" s="15" t="n">
        <f aca="false">IFERROR(K38/I38,0)</f>
        <v>0.659234911557885</v>
      </c>
      <c r="S38" s="15" t="n">
        <f aca="false">IFERROR(M38/I38,0)</f>
        <v>0.451082118823157</v>
      </c>
      <c r="T38" s="15" t="n">
        <f aca="false">IFERROR(Q38/I38,0)</f>
        <v>0.277080435855631</v>
      </c>
      <c r="U38" s="13" t="n">
        <v>69863.15</v>
      </c>
      <c r="V38" s="14" t="n">
        <f aca="false">I38</f>
        <v>76460.18</v>
      </c>
      <c r="W38" s="13" t="n">
        <v>40520.63</v>
      </c>
      <c r="X38" s="14" t="n">
        <f aca="false">J38+L38</f>
        <v>41970.36</v>
      </c>
      <c r="Y38" s="14" t="n">
        <f aca="false">V38-U38</f>
        <v>6597.03</v>
      </c>
      <c r="Z38" s="13" t="n">
        <v>97350.08</v>
      </c>
      <c r="AA38" s="13" t="n">
        <v>15800.31</v>
      </c>
      <c r="AB38" s="13" t="n">
        <v>283933.01</v>
      </c>
      <c r="AC38" s="14" t="n">
        <f aca="false">Z38-AA38</f>
        <v>81549.77</v>
      </c>
    </row>
    <row r="39" customFormat="false" ht="15" hidden="false" customHeight="false" outlineLevel="0" collapsed="false">
      <c r="A39" s="11" t="n">
        <v>45689</v>
      </c>
      <c r="B39" s="12" t="s">
        <v>46</v>
      </c>
      <c r="C39" s="12" t="s">
        <v>41</v>
      </c>
      <c r="D39" s="12" t="n">
        <v>2025</v>
      </c>
      <c r="E39" s="12" t="s">
        <v>60</v>
      </c>
      <c r="F39" s="12" t="s">
        <v>43</v>
      </c>
      <c r="G39" s="12" t="s">
        <v>61</v>
      </c>
      <c r="H39" s="12" t="s">
        <v>62</v>
      </c>
      <c r="I39" s="13" t="n">
        <v>70654.99</v>
      </c>
      <c r="J39" s="13" t="n">
        <v>26292.86</v>
      </c>
      <c r="K39" s="14" t="n">
        <f aca="false">I39-J39</f>
        <v>44362.13</v>
      </c>
      <c r="L39" s="13" t="n">
        <v>14481.22</v>
      </c>
      <c r="M39" s="14" t="n">
        <f aca="false">K39-L39</f>
        <v>29880.91</v>
      </c>
      <c r="N39" s="13" t="n">
        <v>2119.65</v>
      </c>
      <c r="O39" s="13" t="n">
        <v>3780.53</v>
      </c>
      <c r="P39" s="13" t="n">
        <v>5755.38</v>
      </c>
      <c r="Q39" s="14" t="n">
        <f aca="false">M39-N39-O39-P39</f>
        <v>18225.35</v>
      </c>
      <c r="R39" s="15" t="n">
        <f aca="false">IFERROR(K39/I39,0)</f>
        <v>0.627869737155154</v>
      </c>
      <c r="S39" s="15" t="n">
        <f aca="false">IFERROR(M39/I39,0)</f>
        <v>0.422912946417514</v>
      </c>
      <c r="T39" s="15" t="n">
        <f aca="false">IFERROR(Q39/I39,0)</f>
        <v>0.257948518568894</v>
      </c>
      <c r="U39" s="13" t="n">
        <v>70561.78</v>
      </c>
      <c r="V39" s="14" t="n">
        <f aca="false">I39</f>
        <v>70654.99</v>
      </c>
      <c r="W39" s="13" t="n">
        <v>40925.83</v>
      </c>
      <c r="X39" s="14" t="n">
        <f aca="false">J39+L39</f>
        <v>40774.08</v>
      </c>
      <c r="Y39" s="14" t="n">
        <f aca="false">V39-U39</f>
        <v>93.2100000000064</v>
      </c>
      <c r="Z39" s="13" t="n">
        <v>86346.89</v>
      </c>
      <c r="AA39" s="13" t="n">
        <v>13941.72</v>
      </c>
      <c r="AB39" s="13" t="n">
        <v>282024.94</v>
      </c>
      <c r="AC39" s="14" t="n">
        <f aca="false">Z39-AA39</f>
        <v>72405.17</v>
      </c>
    </row>
    <row r="40" customFormat="false" ht="15" hidden="false" customHeight="false" outlineLevel="0" collapsed="false">
      <c r="A40" s="11" t="n">
        <v>45717</v>
      </c>
      <c r="B40" s="12" t="s">
        <v>47</v>
      </c>
      <c r="C40" s="12" t="s">
        <v>41</v>
      </c>
      <c r="D40" s="12" t="n">
        <v>2025</v>
      </c>
      <c r="E40" s="12" t="s">
        <v>60</v>
      </c>
      <c r="F40" s="12" t="s">
        <v>43</v>
      </c>
      <c r="G40" s="12" t="s">
        <v>61</v>
      </c>
      <c r="H40" s="12" t="s">
        <v>62</v>
      </c>
      <c r="I40" s="13" t="n">
        <v>68263.3</v>
      </c>
      <c r="J40" s="13" t="n">
        <v>25939.21</v>
      </c>
      <c r="K40" s="14" t="n">
        <f aca="false">I40-J40</f>
        <v>42324.09</v>
      </c>
      <c r="L40" s="13" t="n">
        <v>17401.63</v>
      </c>
      <c r="M40" s="14" t="n">
        <f aca="false">K40-L40</f>
        <v>24922.46</v>
      </c>
      <c r="N40" s="13" t="n">
        <v>2047.9</v>
      </c>
      <c r="O40" s="13" t="n">
        <v>4856.34</v>
      </c>
      <c r="P40" s="13" t="n">
        <v>4324.37</v>
      </c>
      <c r="Q40" s="14" t="n">
        <f aca="false">M40-N40-O40-P40</f>
        <v>13693.85</v>
      </c>
      <c r="R40" s="15" t="n">
        <f aca="false">IFERROR(K40/I40,0)</f>
        <v>0.620012363890993</v>
      </c>
      <c r="S40" s="15" t="n">
        <f aca="false">IFERROR(M40/I40,0)</f>
        <v>0.365093102736024</v>
      </c>
      <c r="T40" s="15" t="n">
        <f aca="false">IFERROR(Q40/I40,0)</f>
        <v>0.20060339889809</v>
      </c>
      <c r="U40" s="13" t="n">
        <v>71267.4</v>
      </c>
      <c r="V40" s="14" t="n">
        <f aca="false">I40</f>
        <v>68263.3</v>
      </c>
      <c r="W40" s="13" t="n">
        <v>41335.09</v>
      </c>
      <c r="X40" s="14" t="n">
        <f aca="false">J40+L40</f>
        <v>43340.84</v>
      </c>
      <c r="Y40" s="14" t="n">
        <f aca="false">V40-U40</f>
        <v>-3004.09999999999</v>
      </c>
      <c r="Z40" s="13" t="n">
        <v>83959.97</v>
      </c>
      <c r="AA40" s="13" t="n">
        <v>16965.77</v>
      </c>
      <c r="AB40" s="13" t="n">
        <v>290992.85</v>
      </c>
      <c r="AC40" s="14" t="n">
        <f aca="false">Z40-AA40</f>
        <v>66994.2</v>
      </c>
    </row>
    <row r="41" customFormat="false" ht="15" hidden="false" customHeight="false" outlineLevel="0" collapsed="false">
      <c r="A41" s="11" t="n">
        <v>45748</v>
      </c>
      <c r="B41" s="12" t="s">
        <v>48</v>
      </c>
      <c r="C41" s="12" t="s">
        <v>49</v>
      </c>
      <c r="D41" s="12" t="n">
        <v>2025</v>
      </c>
      <c r="E41" s="12" t="s">
        <v>60</v>
      </c>
      <c r="F41" s="12" t="s">
        <v>43</v>
      </c>
      <c r="G41" s="12" t="s">
        <v>61</v>
      </c>
      <c r="H41" s="12" t="s">
        <v>62</v>
      </c>
      <c r="I41" s="13" t="n">
        <v>76127.39</v>
      </c>
      <c r="J41" s="13" t="n">
        <v>27044.09</v>
      </c>
      <c r="K41" s="14" t="n">
        <f aca="false">I41-J41</f>
        <v>49083.3</v>
      </c>
      <c r="L41" s="13" t="n">
        <v>16194.09</v>
      </c>
      <c r="M41" s="14" t="n">
        <f aca="false">K41-L41</f>
        <v>32889.21</v>
      </c>
      <c r="N41" s="13" t="n">
        <v>2283.82</v>
      </c>
      <c r="O41" s="13" t="n">
        <v>4961.6</v>
      </c>
      <c r="P41" s="13" t="n">
        <v>6154.51</v>
      </c>
      <c r="Q41" s="14" t="n">
        <f aca="false">M41-N41-O41-P41</f>
        <v>19489.28</v>
      </c>
      <c r="R41" s="15" t="n">
        <f aca="false">IFERROR(K41/I41,0)</f>
        <v>0.64475217132756</v>
      </c>
      <c r="S41" s="15" t="n">
        <f aca="false">IFERROR(M41/I41,0)</f>
        <v>0.432028603633988</v>
      </c>
      <c r="T41" s="15" t="n">
        <f aca="false">IFERROR(Q41/I41,0)</f>
        <v>0.256008776867301</v>
      </c>
      <c r="U41" s="13" t="n">
        <v>71980.08</v>
      </c>
      <c r="V41" s="14" t="n">
        <f aca="false">I41</f>
        <v>76127.39</v>
      </c>
      <c r="W41" s="13" t="n">
        <v>41748.44</v>
      </c>
      <c r="X41" s="14" t="n">
        <f aca="false">J41+L41</f>
        <v>43238.18</v>
      </c>
      <c r="Y41" s="14" t="n">
        <f aca="false">V41-U41</f>
        <v>4147.31</v>
      </c>
      <c r="Z41" s="13" t="n">
        <v>99943.85</v>
      </c>
      <c r="AA41" s="13" t="n">
        <v>16965.26</v>
      </c>
      <c r="AB41" s="13" t="n">
        <v>289838.05</v>
      </c>
      <c r="AC41" s="14" t="n">
        <f aca="false">Z41-AA41</f>
        <v>82978.59</v>
      </c>
    </row>
    <row r="42" customFormat="false" ht="15" hidden="false" customHeight="false" outlineLevel="0" collapsed="false">
      <c r="A42" s="11" t="n">
        <v>45778</v>
      </c>
      <c r="B42" s="12" t="s">
        <v>50</v>
      </c>
      <c r="C42" s="12" t="s">
        <v>49</v>
      </c>
      <c r="D42" s="12" t="n">
        <v>2025</v>
      </c>
      <c r="E42" s="12" t="s">
        <v>60</v>
      </c>
      <c r="F42" s="12" t="s">
        <v>43</v>
      </c>
      <c r="G42" s="12" t="s">
        <v>61</v>
      </c>
      <c r="H42" s="12" t="s">
        <v>62</v>
      </c>
      <c r="I42" s="13" t="n">
        <v>75776.64</v>
      </c>
      <c r="J42" s="13" t="n">
        <v>22859.86</v>
      </c>
      <c r="K42" s="14" t="n">
        <f aca="false">I42-J42</f>
        <v>52916.78</v>
      </c>
      <c r="L42" s="13" t="n">
        <v>19869.36</v>
      </c>
      <c r="M42" s="14" t="n">
        <f aca="false">K42-L42</f>
        <v>33047.42</v>
      </c>
      <c r="N42" s="13" t="n">
        <v>2273.3</v>
      </c>
      <c r="O42" s="13" t="n">
        <v>2929.43</v>
      </c>
      <c r="P42" s="13" t="n">
        <v>6682.73</v>
      </c>
      <c r="Q42" s="14" t="n">
        <f aca="false">M42-N42-O42-P42</f>
        <v>21161.96</v>
      </c>
      <c r="R42" s="15" t="n">
        <f aca="false">IFERROR(K42/I42,0)</f>
        <v>0.698325763718212</v>
      </c>
      <c r="S42" s="15" t="n">
        <f aca="false">IFERROR(M42/I42,0)</f>
        <v>0.436116196231451</v>
      </c>
      <c r="T42" s="15" t="n">
        <f aca="false">IFERROR(Q42/I42,0)</f>
        <v>0.279267594868287</v>
      </c>
      <c r="U42" s="13" t="n">
        <v>72699.88</v>
      </c>
      <c r="V42" s="14" t="n">
        <f aca="false">I42</f>
        <v>75776.64</v>
      </c>
      <c r="W42" s="13" t="n">
        <v>42165.93</v>
      </c>
      <c r="X42" s="14" t="n">
        <f aca="false">J42+L42</f>
        <v>42729.22</v>
      </c>
      <c r="Y42" s="14" t="n">
        <f aca="false">V42-U42</f>
        <v>3076.75999999999</v>
      </c>
      <c r="Z42" s="13" t="n">
        <v>100118.88</v>
      </c>
      <c r="AA42" s="13" t="n">
        <v>20469.88</v>
      </c>
      <c r="AB42" s="13" t="n">
        <v>297945.38</v>
      </c>
      <c r="AC42" s="14" t="n">
        <f aca="false">Z42-AA42</f>
        <v>79649</v>
      </c>
    </row>
    <row r="43" customFormat="false" ht="15" hidden="false" customHeight="false" outlineLevel="0" collapsed="false">
      <c r="A43" s="11" t="n">
        <v>45809</v>
      </c>
      <c r="B43" s="12" t="s">
        <v>51</v>
      </c>
      <c r="C43" s="12" t="s">
        <v>49</v>
      </c>
      <c r="D43" s="12" t="n">
        <v>2025</v>
      </c>
      <c r="E43" s="12" t="s">
        <v>60</v>
      </c>
      <c r="F43" s="12" t="s">
        <v>43</v>
      </c>
      <c r="G43" s="12" t="s">
        <v>61</v>
      </c>
      <c r="H43" s="12" t="s">
        <v>62</v>
      </c>
      <c r="I43" s="13" t="n">
        <v>67870.87</v>
      </c>
      <c r="J43" s="13" t="n">
        <v>22824.34</v>
      </c>
      <c r="K43" s="14" t="n">
        <f aca="false">I43-J43</f>
        <v>45046.53</v>
      </c>
      <c r="L43" s="13" t="n">
        <v>20670.21</v>
      </c>
      <c r="M43" s="14" t="n">
        <f aca="false">K43-L43</f>
        <v>24376.32</v>
      </c>
      <c r="N43" s="13" t="n">
        <v>2036.13</v>
      </c>
      <c r="O43" s="13" t="n">
        <v>4719.22</v>
      </c>
      <c r="P43" s="13" t="n">
        <v>4229.03</v>
      </c>
      <c r="Q43" s="14" t="n">
        <f aca="false">M43-N43-O43-P43</f>
        <v>13391.94</v>
      </c>
      <c r="R43" s="15" t="n">
        <f aca="false">IFERROR(K43/I43,0)</f>
        <v>0.663709335094717</v>
      </c>
      <c r="S43" s="15" t="n">
        <f aca="false">IFERROR(M43/I43,0)</f>
        <v>0.359157323311164</v>
      </c>
      <c r="T43" s="15" t="n">
        <f aca="false">IFERROR(Q43/I43,0)</f>
        <v>0.197314989479286</v>
      </c>
      <c r="U43" s="13" t="n">
        <v>73426.87</v>
      </c>
      <c r="V43" s="14" t="n">
        <f aca="false">I43</f>
        <v>67870.87</v>
      </c>
      <c r="W43" s="13" t="n">
        <v>42587.59</v>
      </c>
      <c r="X43" s="14" t="n">
        <f aca="false">J43+L43</f>
        <v>43494.55</v>
      </c>
      <c r="Y43" s="14" t="n">
        <f aca="false">V43-U43</f>
        <v>-5556</v>
      </c>
      <c r="Z43" s="13" t="n">
        <v>83583.54</v>
      </c>
      <c r="AA43" s="13" t="n">
        <v>21324.6</v>
      </c>
      <c r="AB43" s="13" t="n">
        <v>306729.42</v>
      </c>
      <c r="AC43" s="14" t="n">
        <f aca="false">Z43-AA43</f>
        <v>62258.94</v>
      </c>
    </row>
    <row r="44" customFormat="false" ht="15" hidden="false" customHeight="false" outlineLevel="0" collapsed="false">
      <c r="A44" s="11" t="n">
        <v>45839</v>
      </c>
      <c r="B44" s="12" t="s">
        <v>52</v>
      </c>
      <c r="C44" s="12" t="s">
        <v>53</v>
      </c>
      <c r="D44" s="12" t="n">
        <v>2025</v>
      </c>
      <c r="E44" s="12" t="s">
        <v>60</v>
      </c>
      <c r="F44" s="12" t="s">
        <v>43</v>
      </c>
      <c r="G44" s="12" t="s">
        <v>61</v>
      </c>
      <c r="H44" s="12" t="s">
        <v>62</v>
      </c>
      <c r="I44" s="13" t="n">
        <v>70788.09</v>
      </c>
      <c r="J44" s="13" t="n">
        <v>24366.18</v>
      </c>
      <c r="K44" s="14" t="n">
        <f aca="false">I44-J44</f>
        <v>46421.91</v>
      </c>
      <c r="L44" s="13" t="n">
        <v>17911.05</v>
      </c>
      <c r="M44" s="14" t="n">
        <f aca="false">K44-L44</f>
        <v>28510.86</v>
      </c>
      <c r="N44" s="13" t="n">
        <v>2123.64</v>
      </c>
      <c r="O44" s="13" t="n">
        <v>1880.46</v>
      </c>
      <c r="P44" s="13" t="n">
        <v>5881.62</v>
      </c>
      <c r="Q44" s="14" t="n">
        <f aca="false">M44-N44-O44-P44</f>
        <v>18625.14</v>
      </c>
      <c r="R44" s="15" t="n">
        <f aca="false">IFERROR(K44/I44,0)</f>
        <v>0.655787011628651</v>
      </c>
      <c r="S44" s="15" t="n">
        <f aca="false">IFERROR(M44/I44,0)</f>
        <v>0.40276351572701</v>
      </c>
      <c r="T44" s="15" t="n">
        <f aca="false">IFERROR(Q44/I44,0)</f>
        <v>0.263111209809447</v>
      </c>
      <c r="U44" s="13" t="n">
        <v>74161.14</v>
      </c>
      <c r="V44" s="14" t="n">
        <f aca="false">I44</f>
        <v>70788.09</v>
      </c>
      <c r="W44" s="13" t="n">
        <v>43013.46</v>
      </c>
      <c r="X44" s="14" t="n">
        <f aca="false">J44+L44</f>
        <v>42277.23</v>
      </c>
      <c r="Y44" s="14" t="n">
        <f aca="false">V44-U44</f>
        <v>-3373.05</v>
      </c>
      <c r="Z44" s="13" t="n">
        <v>86913.36</v>
      </c>
      <c r="AA44" s="13" t="n">
        <v>17603.45</v>
      </c>
      <c r="AB44" s="13" t="n">
        <v>318498.72</v>
      </c>
      <c r="AC44" s="14" t="n">
        <f aca="false">Z44-AA44</f>
        <v>69309.91</v>
      </c>
    </row>
    <row r="45" customFormat="false" ht="15" hidden="false" customHeight="false" outlineLevel="0" collapsed="false">
      <c r="A45" s="11" t="n">
        <v>45870</v>
      </c>
      <c r="B45" s="12" t="s">
        <v>54</v>
      </c>
      <c r="C45" s="12" t="s">
        <v>53</v>
      </c>
      <c r="D45" s="12" t="n">
        <v>2025</v>
      </c>
      <c r="E45" s="12" t="s">
        <v>60</v>
      </c>
      <c r="F45" s="12" t="s">
        <v>43</v>
      </c>
      <c r="G45" s="12" t="s">
        <v>61</v>
      </c>
      <c r="H45" s="12" t="s">
        <v>62</v>
      </c>
      <c r="I45" s="13" t="n">
        <v>66806.31</v>
      </c>
      <c r="J45" s="13" t="n">
        <v>22365.88</v>
      </c>
      <c r="K45" s="14" t="n">
        <f aca="false">I45-J45</f>
        <v>44440.43</v>
      </c>
      <c r="L45" s="13" t="n">
        <v>19400.58</v>
      </c>
      <c r="M45" s="14" t="n">
        <f aca="false">K45-L45</f>
        <v>25039.85</v>
      </c>
      <c r="N45" s="13" t="n">
        <v>2004.19</v>
      </c>
      <c r="O45" s="13" t="n">
        <v>3623.13</v>
      </c>
      <c r="P45" s="13" t="n">
        <v>4659.01</v>
      </c>
      <c r="Q45" s="14" t="n">
        <f aca="false">M45-N45-O45-P45</f>
        <v>14753.52</v>
      </c>
      <c r="R45" s="15" t="n">
        <f aca="false">IFERROR(K45/I45,0)</f>
        <v>0.665213061460811</v>
      </c>
      <c r="S45" s="15" t="n">
        <f aca="false">IFERROR(M45/I45,0)</f>
        <v>0.374812648685431</v>
      </c>
      <c r="T45" s="15" t="n">
        <f aca="false">IFERROR(Q45/I45,0)</f>
        <v>0.220840217039378</v>
      </c>
      <c r="U45" s="13" t="n">
        <v>74902.75</v>
      </c>
      <c r="V45" s="14" t="n">
        <f aca="false">I45</f>
        <v>66806.31</v>
      </c>
      <c r="W45" s="13" t="n">
        <v>43443.6</v>
      </c>
      <c r="X45" s="14" t="n">
        <f aca="false">J45+L45</f>
        <v>41766.46</v>
      </c>
      <c r="Y45" s="14" t="n">
        <f aca="false">V45-U45</f>
        <v>-8096.44</v>
      </c>
      <c r="Z45" s="13" t="n">
        <v>88338.21</v>
      </c>
      <c r="AA45" s="13" t="n">
        <v>18654.32</v>
      </c>
      <c r="AB45" s="13" t="n">
        <v>330354.02</v>
      </c>
      <c r="AC45" s="14" t="n">
        <f aca="false">Z45-AA45</f>
        <v>69683.89</v>
      </c>
    </row>
    <row r="46" customFormat="false" ht="15" hidden="false" customHeight="false" outlineLevel="0" collapsed="false">
      <c r="A46" s="11" t="n">
        <v>45901</v>
      </c>
      <c r="B46" s="12" t="s">
        <v>55</v>
      </c>
      <c r="C46" s="12" t="s">
        <v>53</v>
      </c>
      <c r="D46" s="12" t="n">
        <v>2025</v>
      </c>
      <c r="E46" s="12" t="s">
        <v>60</v>
      </c>
      <c r="F46" s="12" t="s">
        <v>43</v>
      </c>
      <c r="G46" s="12" t="s">
        <v>61</v>
      </c>
      <c r="H46" s="12" t="s">
        <v>62</v>
      </c>
      <c r="I46" s="13" t="n">
        <v>78216.57</v>
      </c>
      <c r="J46" s="13" t="n">
        <v>26412.2</v>
      </c>
      <c r="K46" s="14" t="n">
        <f aca="false">I46-J46</f>
        <v>51804.37</v>
      </c>
      <c r="L46" s="13" t="n">
        <v>19259.09</v>
      </c>
      <c r="M46" s="14" t="n">
        <f aca="false">K46-L46</f>
        <v>32545.28</v>
      </c>
      <c r="N46" s="13" t="n">
        <v>2346.5</v>
      </c>
      <c r="O46" s="13" t="n">
        <v>2168.57</v>
      </c>
      <c r="P46" s="13" t="n">
        <v>6727.25</v>
      </c>
      <c r="Q46" s="14" t="n">
        <f aca="false">M46-N46-O46-P46</f>
        <v>21302.96</v>
      </c>
      <c r="R46" s="15" t="n">
        <f aca="false">IFERROR(K46/I46,0)</f>
        <v>0.662319633806494</v>
      </c>
      <c r="S46" s="15" t="n">
        <f aca="false">IFERROR(M46/I46,0)</f>
        <v>0.416091884366701</v>
      </c>
      <c r="T46" s="15" t="n">
        <f aca="false">IFERROR(Q46/I46,0)</f>
        <v>0.272358657506971</v>
      </c>
      <c r="U46" s="13" t="n">
        <v>75651.78</v>
      </c>
      <c r="V46" s="14" t="n">
        <f aca="false">I46</f>
        <v>78216.57</v>
      </c>
      <c r="W46" s="13" t="n">
        <v>43878.03</v>
      </c>
      <c r="X46" s="14" t="n">
        <f aca="false">J46+L46</f>
        <v>45671.29</v>
      </c>
      <c r="Y46" s="14" t="n">
        <f aca="false">V46-U46</f>
        <v>2564.79000000001</v>
      </c>
      <c r="Z46" s="13" t="n">
        <v>98426.02</v>
      </c>
      <c r="AA46" s="13" t="n">
        <v>19699.25</v>
      </c>
      <c r="AB46" s="13" t="n">
        <v>328161.99</v>
      </c>
      <c r="AC46" s="14" t="n">
        <f aca="false">Z46-AA46</f>
        <v>78726.77</v>
      </c>
    </row>
    <row r="47" customFormat="false" ht="15" hidden="false" customHeight="false" outlineLevel="0" collapsed="false">
      <c r="A47" s="11" t="n">
        <v>45931</v>
      </c>
      <c r="B47" s="12" t="s">
        <v>56</v>
      </c>
      <c r="C47" s="12" t="s">
        <v>57</v>
      </c>
      <c r="D47" s="12" t="n">
        <v>2025</v>
      </c>
      <c r="E47" s="12" t="s">
        <v>60</v>
      </c>
      <c r="F47" s="12" t="s">
        <v>43</v>
      </c>
      <c r="G47" s="12" t="s">
        <v>61</v>
      </c>
      <c r="H47" s="12" t="s">
        <v>62</v>
      </c>
      <c r="I47" s="13" t="n">
        <v>81692.53</v>
      </c>
      <c r="J47" s="13" t="n">
        <v>26168.05</v>
      </c>
      <c r="K47" s="14" t="n">
        <f aca="false">I47-J47</f>
        <v>55524.48</v>
      </c>
      <c r="L47" s="13" t="n">
        <v>18044.03</v>
      </c>
      <c r="M47" s="14" t="n">
        <f aca="false">K47-L47</f>
        <v>37480.45</v>
      </c>
      <c r="N47" s="13" t="n">
        <v>2450.78</v>
      </c>
      <c r="O47" s="13" t="n">
        <v>4209.87</v>
      </c>
      <c r="P47" s="13" t="n">
        <v>7396.75</v>
      </c>
      <c r="Q47" s="14" t="n">
        <f aca="false">M47-N47-O47-P47</f>
        <v>23423.05</v>
      </c>
      <c r="R47" s="15" t="n">
        <f aca="false">IFERROR(K47/I47,0)</f>
        <v>0.679676342500349</v>
      </c>
      <c r="S47" s="15" t="n">
        <f aca="false">IFERROR(M47/I47,0)</f>
        <v>0.458798986884113</v>
      </c>
      <c r="T47" s="15" t="n">
        <f aca="false">IFERROR(Q47/I47,0)</f>
        <v>0.286722054023789</v>
      </c>
      <c r="U47" s="13" t="n">
        <v>76408.3</v>
      </c>
      <c r="V47" s="14" t="n">
        <f aca="false">I47</f>
        <v>81692.53</v>
      </c>
      <c r="W47" s="13" t="n">
        <v>44316.81</v>
      </c>
      <c r="X47" s="14" t="n">
        <f aca="false">J47+L47</f>
        <v>44212.08</v>
      </c>
      <c r="Y47" s="14" t="n">
        <f aca="false">V47-U47</f>
        <v>5284.23</v>
      </c>
      <c r="Z47" s="13" t="n">
        <v>98320.85</v>
      </c>
      <c r="AA47" s="13" t="n">
        <v>18811.94</v>
      </c>
      <c r="AB47" s="13" t="n">
        <v>327145.19</v>
      </c>
      <c r="AC47" s="14" t="n">
        <f aca="false">Z47-AA47</f>
        <v>79508.91</v>
      </c>
    </row>
    <row r="48" customFormat="false" ht="15" hidden="false" customHeight="false" outlineLevel="0" collapsed="false">
      <c r="A48" s="11" t="n">
        <v>45962</v>
      </c>
      <c r="B48" s="12" t="s">
        <v>58</v>
      </c>
      <c r="C48" s="12" t="s">
        <v>57</v>
      </c>
      <c r="D48" s="12" t="n">
        <v>2025</v>
      </c>
      <c r="E48" s="12" t="s">
        <v>60</v>
      </c>
      <c r="F48" s="12" t="s">
        <v>43</v>
      </c>
      <c r="G48" s="12" t="s">
        <v>61</v>
      </c>
      <c r="H48" s="12" t="s">
        <v>62</v>
      </c>
      <c r="I48" s="13" t="n">
        <v>70601.85</v>
      </c>
      <c r="J48" s="13" t="n">
        <v>23466</v>
      </c>
      <c r="K48" s="14" t="n">
        <f aca="false">I48-J48</f>
        <v>47135.85</v>
      </c>
      <c r="L48" s="13" t="n">
        <v>17994.15</v>
      </c>
      <c r="M48" s="14" t="n">
        <f aca="false">K48-L48</f>
        <v>29141.7</v>
      </c>
      <c r="N48" s="13" t="n">
        <v>2118.06</v>
      </c>
      <c r="O48" s="13" t="n">
        <v>3038.35</v>
      </c>
      <c r="P48" s="13" t="n">
        <v>5756.47</v>
      </c>
      <c r="Q48" s="14" t="n">
        <f aca="false">M48-N48-O48-P48</f>
        <v>18228.82</v>
      </c>
      <c r="R48" s="15" t="n">
        <f aca="false">IFERROR(K48/I48,0)</f>
        <v>0.667629106036173</v>
      </c>
      <c r="S48" s="15" t="n">
        <f aca="false">IFERROR(M48/I48,0)</f>
        <v>0.412761138695374</v>
      </c>
      <c r="T48" s="15" t="n">
        <f aca="false">IFERROR(Q48/I48,0)</f>
        <v>0.258191817919785</v>
      </c>
      <c r="U48" s="13" t="n">
        <v>77172.38</v>
      </c>
      <c r="V48" s="14" t="n">
        <f aca="false">I48</f>
        <v>70601.85</v>
      </c>
      <c r="W48" s="13" t="n">
        <v>44759.98</v>
      </c>
      <c r="X48" s="14" t="n">
        <f aca="false">J48+L48</f>
        <v>41460.15</v>
      </c>
      <c r="Y48" s="14" t="n">
        <f aca="false">V48-U48</f>
        <v>-6570.53</v>
      </c>
      <c r="Z48" s="13" t="n">
        <v>85583.33</v>
      </c>
      <c r="AA48" s="13" t="n">
        <v>18289.68</v>
      </c>
      <c r="AB48" s="13" t="n">
        <v>325711.37</v>
      </c>
      <c r="AC48" s="14" t="n">
        <f aca="false">Z48-AA48</f>
        <v>67293.65</v>
      </c>
    </row>
    <row r="49" customFormat="false" ht="15" hidden="false" customHeight="false" outlineLevel="0" collapsed="false">
      <c r="A49" s="11" t="n">
        <v>45992</v>
      </c>
      <c r="B49" s="12" t="s">
        <v>59</v>
      </c>
      <c r="C49" s="12" t="s">
        <v>57</v>
      </c>
      <c r="D49" s="12" t="n">
        <v>2025</v>
      </c>
      <c r="E49" s="12" t="s">
        <v>60</v>
      </c>
      <c r="F49" s="12" t="s">
        <v>43</v>
      </c>
      <c r="G49" s="12" t="s">
        <v>61</v>
      </c>
      <c r="H49" s="12" t="s">
        <v>62</v>
      </c>
      <c r="I49" s="13" t="n">
        <v>81202.82</v>
      </c>
      <c r="J49" s="13" t="n">
        <v>29105.33</v>
      </c>
      <c r="K49" s="14" t="n">
        <f aca="false">I49-J49</f>
        <v>52097.49</v>
      </c>
      <c r="L49" s="13" t="n">
        <v>16609.99</v>
      </c>
      <c r="M49" s="14" t="n">
        <f aca="false">K49-L49</f>
        <v>35487.5</v>
      </c>
      <c r="N49" s="13" t="n">
        <v>2436.08</v>
      </c>
      <c r="O49" s="13" t="n">
        <v>3188.54</v>
      </c>
      <c r="P49" s="13" t="n">
        <v>7167.09</v>
      </c>
      <c r="Q49" s="14" t="n">
        <f aca="false">M49-N49-O49-P49</f>
        <v>22695.79</v>
      </c>
      <c r="R49" s="15" t="n">
        <f aca="false">IFERROR(K49/I49,0)</f>
        <v>0.641572423223726</v>
      </c>
      <c r="S49" s="15" t="n">
        <f aca="false">IFERROR(M49/I49,0)</f>
        <v>0.43702299994015</v>
      </c>
      <c r="T49" s="15" t="n">
        <f aca="false">IFERROR(Q49/I49,0)</f>
        <v>0.279495096352565</v>
      </c>
      <c r="U49" s="13" t="n">
        <v>77944.11</v>
      </c>
      <c r="V49" s="14" t="n">
        <f aca="false">I49</f>
        <v>81202.82</v>
      </c>
      <c r="W49" s="13" t="n">
        <v>45207.58</v>
      </c>
      <c r="X49" s="14" t="n">
        <f aca="false">J49+L49</f>
        <v>45715.32</v>
      </c>
      <c r="Y49" s="14" t="n">
        <f aca="false">V49-U49</f>
        <v>3258.71000000001</v>
      </c>
      <c r="Z49" s="13" t="n">
        <v>101853.03</v>
      </c>
      <c r="AA49" s="13" t="n">
        <v>16270.57</v>
      </c>
      <c r="AB49" s="13" t="n">
        <v>332340.38</v>
      </c>
      <c r="AC49" s="14" t="n">
        <f aca="false">Z49-AA49</f>
        <v>85582.46</v>
      </c>
    </row>
    <row r="50" customFormat="false" ht="15" hidden="false" customHeight="false" outlineLevel="0" collapsed="false">
      <c r="A50" s="11" t="n">
        <v>45292</v>
      </c>
      <c r="B50" s="12" t="s">
        <v>40</v>
      </c>
      <c r="C50" s="12" t="s">
        <v>41</v>
      </c>
      <c r="D50" s="12" t="n">
        <v>2024</v>
      </c>
      <c r="E50" s="12" t="s">
        <v>42</v>
      </c>
      <c r="F50" s="12" t="s">
        <v>63</v>
      </c>
      <c r="G50" s="12" t="s">
        <v>44</v>
      </c>
      <c r="H50" s="12" t="s">
        <v>64</v>
      </c>
      <c r="I50" s="13" t="n">
        <v>125722.98</v>
      </c>
      <c r="J50" s="13" t="n">
        <v>33035.37</v>
      </c>
      <c r="K50" s="14" t="n">
        <f aca="false">I50-J50</f>
        <v>92687.61</v>
      </c>
      <c r="L50" s="13" t="n">
        <v>37357.51</v>
      </c>
      <c r="M50" s="14" t="n">
        <f aca="false">K50-L50</f>
        <v>55330.1</v>
      </c>
      <c r="N50" s="13" t="n">
        <v>4400.3</v>
      </c>
      <c r="O50" s="13" t="n">
        <v>3892.75</v>
      </c>
      <c r="P50" s="13" t="n">
        <v>11288.89</v>
      </c>
      <c r="Q50" s="14" t="n">
        <f aca="false">M50-N50-O50-P50</f>
        <v>35748.16</v>
      </c>
      <c r="R50" s="15" t="n">
        <f aca="false">IFERROR(K50/I50,0)</f>
        <v>0.737236820189913</v>
      </c>
      <c r="S50" s="15" t="n">
        <f aca="false">IFERROR(M50/I50,0)</f>
        <v>0.440095358859613</v>
      </c>
      <c r="T50" s="15" t="n">
        <f aca="false">IFERROR(Q50/I50,0)</f>
        <v>0.28434069889212</v>
      </c>
      <c r="U50" s="13" t="n">
        <v>142000</v>
      </c>
      <c r="V50" s="14" t="n">
        <f aca="false">I50</f>
        <v>125722.98</v>
      </c>
      <c r="W50" s="13" t="n">
        <v>75260</v>
      </c>
      <c r="X50" s="14" t="n">
        <f aca="false">J50+L50</f>
        <v>70392.88</v>
      </c>
      <c r="Y50" s="14" t="n">
        <f aca="false">V50-U50</f>
        <v>-16277.02</v>
      </c>
      <c r="Z50" s="13" t="n">
        <v>193045.39</v>
      </c>
      <c r="AA50" s="13" t="n">
        <v>45043.91</v>
      </c>
      <c r="AB50" s="13" t="n">
        <v>194071.79</v>
      </c>
      <c r="AC50" s="14" t="n">
        <f aca="false">Z50-AA50</f>
        <v>148001.48</v>
      </c>
    </row>
    <row r="51" customFormat="false" ht="15" hidden="false" customHeight="false" outlineLevel="0" collapsed="false">
      <c r="A51" s="11" t="n">
        <v>45323</v>
      </c>
      <c r="B51" s="12" t="s">
        <v>46</v>
      </c>
      <c r="C51" s="12" t="s">
        <v>41</v>
      </c>
      <c r="D51" s="12" t="n">
        <v>2024</v>
      </c>
      <c r="E51" s="12" t="s">
        <v>42</v>
      </c>
      <c r="F51" s="12" t="s">
        <v>63</v>
      </c>
      <c r="G51" s="12" t="s">
        <v>44</v>
      </c>
      <c r="H51" s="12" t="s">
        <v>64</v>
      </c>
      <c r="I51" s="13" t="n">
        <v>143578.56</v>
      </c>
      <c r="J51" s="13" t="n">
        <v>31037.62</v>
      </c>
      <c r="K51" s="14" t="n">
        <f aca="false">I51-J51</f>
        <v>112540.94</v>
      </c>
      <c r="L51" s="13" t="n">
        <v>42836.73</v>
      </c>
      <c r="M51" s="14" t="n">
        <f aca="false">K51-L51</f>
        <v>69704.21</v>
      </c>
      <c r="N51" s="13" t="n">
        <v>5025.25</v>
      </c>
      <c r="O51" s="13" t="n">
        <v>3303.34</v>
      </c>
      <c r="P51" s="13" t="n">
        <v>14730.15</v>
      </c>
      <c r="Q51" s="14" t="n">
        <f aca="false">M51-N51-O51-P51</f>
        <v>46645.47</v>
      </c>
      <c r="R51" s="15" t="n">
        <f aca="false">IFERROR(K51/I51,0)</f>
        <v>0.783828309742067</v>
      </c>
      <c r="S51" s="15" t="n">
        <f aca="false">IFERROR(M51/I51,0)</f>
        <v>0.485477845717355</v>
      </c>
      <c r="T51" s="15" t="n">
        <f aca="false">IFERROR(Q51/I51,0)</f>
        <v>0.324877683687592</v>
      </c>
      <c r="U51" s="13" t="n">
        <v>143562</v>
      </c>
      <c r="V51" s="14" t="n">
        <f aca="false">I51</f>
        <v>143578.56</v>
      </c>
      <c r="W51" s="13" t="n">
        <v>76087.86</v>
      </c>
      <c r="X51" s="14" t="n">
        <f aca="false">J51+L51</f>
        <v>73874.35</v>
      </c>
      <c r="Y51" s="14" t="n">
        <f aca="false">V51-U51</f>
        <v>16.5599999999977</v>
      </c>
      <c r="Z51" s="13" t="n">
        <v>218499.75</v>
      </c>
      <c r="AA51" s="13" t="n">
        <v>51266.24</v>
      </c>
      <c r="AB51" s="13" t="n">
        <v>191262.08</v>
      </c>
      <c r="AC51" s="14" t="n">
        <f aca="false">Z51-AA51</f>
        <v>167233.51</v>
      </c>
    </row>
    <row r="52" customFormat="false" ht="15" hidden="false" customHeight="false" outlineLevel="0" collapsed="false">
      <c r="A52" s="11" t="n">
        <v>45352</v>
      </c>
      <c r="B52" s="12" t="s">
        <v>47</v>
      </c>
      <c r="C52" s="12" t="s">
        <v>41</v>
      </c>
      <c r="D52" s="12" t="n">
        <v>2024</v>
      </c>
      <c r="E52" s="12" t="s">
        <v>42</v>
      </c>
      <c r="F52" s="12" t="s">
        <v>63</v>
      </c>
      <c r="G52" s="12" t="s">
        <v>44</v>
      </c>
      <c r="H52" s="12" t="s">
        <v>64</v>
      </c>
      <c r="I52" s="13" t="n">
        <v>156718.67</v>
      </c>
      <c r="J52" s="13" t="n">
        <v>34361.01</v>
      </c>
      <c r="K52" s="14" t="n">
        <f aca="false">I52-J52</f>
        <v>122357.66</v>
      </c>
      <c r="L52" s="13" t="n">
        <v>42917.65</v>
      </c>
      <c r="M52" s="14" t="n">
        <f aca="false">K52-L52</f>
        <v>79440.01</v>
      </c>
      <c r="N52" s="13" t="n">
        <v>5485.15</v>
      </c>
      <c r="O52" s="13" t="n">
        <v>3552.54</v>
      </c>
      <c r="P52" s="13" t="n">
        <v>16896.56</v>
      </c>
      <c r="Q52" s="14" t="n">
        <f aca="false">M52-N52-O52-P52</f>
        <v>53505.76</v>
      </c>
      <c r="R52" s="15" t="n">
        <f aca="false">IFERROR(K52/I52,0)</f>
        <v>0.780747182195969</v>
      </c>
      <c r="S52" s="15" t="n">
        <f aca="false">IFERROR(M52/I52,0)</f>
        <v>0.506895636620704</v>
      </c>
      <c r="T52" s="15" t="n">
        <f aca="false">IFERROR(Q52/I52,0)</f>
        <v>0.341412800402148</v>
      </c>
      <c r="U52" s="13" t="n">
        <v>145141.18</v>
      </c>
      <c r="V52" s="14" t="n">
        <f aca="false">I52</f>
        <v>156718.67</v>
      </c>
      <c r="W52" s="13" t="n">
        <v>76924.83</v>
      </c>
      <c r="X52" s="14" t="n">
        <f aca="false">J52+L52</f>
        <v>77278.66</v>
      </c>
      <c r="Y52" s="14" t="n">
        <f aca="false">V52-U52</f>
        <v>11577.49</v>
      </c>
      <c r="Z52" s="13" t="n">
        <v>248789.96</v>
      </c>
      <c r="AA52" s="13" t="n">
        <v>50652.38</v>
      </c>
      <c r="AB52" s="13" t="n">
        <v>194686.25</v>
      </c>
      <c r="AC52" s="14" t="n">
        <f aca="false">Z52-AA52</f>
        <v>198137.58</v>
      </c>
    </row>
    <row r="53" customFormat="false" ht="15" hidden="false" customHeight="false" outlineLevel="0" collapsed="false">
      <c r="A53" s="11" t="n">
        <v>45383</v>
      </c>
      <c r="B53" s="12" t="s">
        <v>48</v>
      </c>
      <c r="C53" s="12" t="s">
        <v>49</v>
      </c>
      <c r="D53" s="12" t="n">
        <v>2024</v>
      </c>
      <c r="E53" s="12" t="s">
        <v>42</v>
      </c>
      <c r="F53" s="12" t="s">
        <v>63</v>
      </c>
      <c r="G53" s="12" t="s">
        <v>44</v>
      </c>
      <c r="H53" s="12" t="s">
        <v>64</v>
      </c>
      <c r="I53" s="13" t="n">
        <v>134502.15</v>
      </c>
      <c r="J53" s="13" t="n">
        <v>31385.75</v>
      </c>
      <c r="K53" s="14" t="n">
        <f aca="false">I53-J53</f>
        <v>103116.4</v>
      </c>
      <c r="L53" s="13" t="n">
        <v>40744.64</v>
      </c>
      <c r="M53" s="14" t="n">
        <f aca="false">K53-L53</f>
        <v>62371.76</v>
      </c>
      <c r="N53" s="13" t="n">
        <v>4707.58</v>
      </c>
      <c r="O53" s="13" t="n">
        <v>2632.46</v>
      </c>
      <c r="P53" s="13" t="n">
        <v>13207.61</v>
      </c>
      <c r="Q53" s="14" t="n">
        <f aca="false">M53-N53-O53-P53</f>
        <v>41824.11</v>
      </c>
      <c r="R53" s="15" t="n">
        <f aca="false">IFERROR(K53/I53,0)</f>
        <v>0.766652428976042</v>
      </c>
      <c r="S53" s="15" t="n">
        <f aca="false">IFERROR(M53/I53,0)</f>
        <v>0.46372314494601</v>
      </c>
      <c r="T53" s="15" t="n">
        <f aca="false">IFERROR(Q53/I53,0)</f>
        <v>0.310954954995143</v>
      </c>
      <c r="U53" s="13" t="n">
        <v>146737.74</v>
      </c>
      <c r="V53" s="14" t="n">
        <f aca="false">I53</f>
        <v>134502.15</v>
      </c>
      <c r="W53" s="13" t="n">
        <v>77771</v>
      </c>
      <c r="X53" s="14" t="n">
        <f aca="false">J53+L53</f>
        <v>72130.39</v>
      </c>
      <c r="Y53" s="14" t="n">
        <f aca="false">V53-U53</f>
        <v>-12235.59</v>
      </c>
      <c r="Z53" s="13" t="n">
        <v>210196.11</v>
      </c>
      <c r="AA53" s="13" t="n">
        <v>50603.56</v>
      </c>
      <c r="AB53" s="13" t="n">
        <v>196287.06</v>
      </c>
      <c r="AC53" s="14" t="n">
        <f aca="false">Z53-AA53</f>
        <v>159592.55</v>
      </c>
    </row>
    <row r="54" customFormat="false" ht="15" hidden="false" customHeight="false" outlineLevel="0" collapsed="false">
      <c r="A54" s="11" t="n">
        <v>45413</v>
      </c>
      <c r="B54" s="12" t="s">
        <v>50</v>
      </c>
      <c r="C54" s="12" t="s">
        <v>49</v>
      </c>
      <c r="D54" s="12" t="n">
        <v>2024</v>
      </c>
      <c r="E54" s="12" t="s">
        <v>42</v>
      </c>
      <c r="F54" s="12" t="s">
        <v>63</v>
      </c>
      <c r="G54" s="12" t="s">
        <v>44</v>
      </c>
      <c r="H54" s="12" t="s">
        <v>64</v>
      </c>
      <c r="I54" s="13" t="n">
        <v>155924.95</v>
      </c>
      <c r="J54" s="13" t="n">
        <v>38847.37</v>
      </c>
      <c r="K54" s="14" t="n">
        <f aca="false">I54-J54</f>
        <v>117077.58</v>
      </c>
      <c r="L54" s="13" t="n">
        <v>41385.01</v>
      </c>
      <c r="M54" s="14" t="n">
        <f aca="false">K54-L54</f>
        <v>75692.57</v>
      </c>
      <c r="N54" s="13" t="n">
        <v>5457.37</v>
      </c>
      <c r="O54" s="13" t="n">
        <v>4167.6</v>
      </c>
      <c r="P54" s="13" t="n">
        <v>15856.22</v>
      </c>
      <c r="Q54" s="14" t="n">
        <f aca="false">M54-N54-O54-P54</f>
        <v>50211.38</v>
      </c>
      <c r="R54" s="15" t="n">
        <f aca="false">IFERROR(K54/I54,0)</f>
        <v>0.750858538033843</v>
      </c>
      <c r="S54" s="15" t="n">
        <f aca="false">IFERROR(M54/I54,0)</f>
        <v>0.485442323374162</v>
      </c>
      <c r="T54" s="15" t="n">
        <f aca="false">IFERROR(Q54/I54,0)</f>
        <v>0.322022742351368</v>
      </c>
      <c r="U54" s="13" t="n">
        <v>148351.85</v>
      </c>
      <c r="V54" s="14" t="n">
        <f aca="false">I54</f>
        <v>155924.95</v>
      </c>
      <c r="W54" s="13" t="n">
        <v>78626.48</v>
      </c>
      <c r="X54" s="14" t="n">
        <f aca="false">J54+L54</f>
        <v>80232.38</v>
      </c>
      <c r="Y54" s="14" t="n">
        <f aca="false">V54-U54</f>
        <v>7573.10000000001</v>
      </c>
      <c r="Z54" s="13" t="n">
        <v>244145.07</v>
      </c>
      <c r="AA54" s="13" t="n">
        <v>48390.59</v>
      </c>
      <c r="AB54" s="13" t="n">
        <v>196841.8</v>
      </c>
      <c r="AC54" s="14" t="n">
        <f aca="false">Z54-AA54</f>
        <v>195754.48</v>
      </c>
    </row>
    <row r="55" customFormat="false" ht="15" hidden="false" customHeight="false" outlineLevel="0" collapsed="false">
      <c r="A55" s="11" t="n">
        <v>45444</v>
      </c>
      <c r="B55" s="12" t="s">
        <v>51</v>
      </c>
      <c r="C55" s="12" t="s">
        <v>49</v>
      </c>
      <c r="D55" s="12" t="n">
        <v>2024</v>
      </c>
      <c r="E55" s="12" t="s">
        <v>42</v>
      </c>
      <c r="F55" s="12" t="s">
        <v>63</v>
      </c>
      <c r="G55" s="12" t="s">
        <v>44</v>
      </c>
      <c r="H55" s="12" t="s">
        <v>64</v>
      </c>
      <c r="I55" s="13" t="n">
        <v>149261.01</v>
      </c>
      <c r="J55" s="13" t="n">
        <v>35853.66</v>
      </c>
      <c r="K55" s="14" t="n">
        <f aca="false">I55-J55</f>
        <v>113407.35</v>
      </c>
      <c r="L55" s="13" t="n">
        <v>38826.82</v>
      </c>
      <c r="M55" s="14" t="n">
        <f aca="false">K55-L55</f>
        <v>74580.53</v>
      </c>
      <c r="N55" s="13" t="n">
        <v>5224.14</v>
      </c>
      <c r="O55" s="13" t="n">
        <v>2398.01</v>
      </c>
      <c r="P55" s="13" t="n">
        <v>16070.01</v>
      </c>
      <c r="Q55" s="14" t="n">
        <f aca="false">M55-N55-O55-P55</f>
        <v>50888.37</v>
      </c>
      <c r="R55" s="15" t="n">
        <f aca="false">IFERROR(K55/I55,0)</f>
        <v>0.759792192214162</v>
      </c>
      <c r="S55" s="15" t="n">
        <f aca="false">IFERROR(M55/I55,0)</f>
        <v>0.49966518382798</v>
      </c>
      <c r="T55" s="15" t="n">
        <f aca="false">IFERROR(Q55/I55,0)</f>
        <v>0.340935452600783</v>
      </c>
      <c r="U55" s="13" t="n">
        <v>149983.72</v>
      </c>
      <c r="V55" s="14" t="n">
        <f aca="false">I55</f>
        <v>149261.01</v>
      </c>
      <c r="W55" s="13" t="n">
        <v>79491.37</v>
      </c>
      <c r="X55" s="14" t="n">
        <f aca="false">J55+L55</f>
        <v>74680.48</v>
      </c>
      <c r="Y55" s="14" t="n">
        <f aca="false">V55-U55</f>
        <v>-722.709999999992</v>
      </c>
      <c r="Z55" s="13" t="n">
        <v>244551.43</v>
      </c>
      <c r="AA55" s="13" t="n">
        <v>46675.85</v>
      </c>
      <c r="AB55" s="13" t="n">
        <v>200200.73</v>
      </c>
      <c r="AC55" s="14" t="n">
        <f aca="false">Z55-AA55</f>
        <v>197875.58</v>
      </c>
    </row>
    <row r="56" customFormat="false" ht="15" hidden="false" customHeight="false" outlineLevel="0" collapsed="false">
      <c r="A56" s="11" t="n">
        <v>45474</v>
      </c>
      <c r="B56" s="12" t="s">
        <v>52</v>
      </c>
      <c r="C56" s="12" t="s">
        <v>53</v>
      </c>
      <c r="D56" s="12" t="n">
        <v>2024</v>
      </c>
      <c r="E56" s="12" t="s">
        <v>42</v>
      </c>
      <c r="F56" s="12" t="s">
        <v>63</v>
      </c>
      <c r="G56" s="12" t="s">
        <v>44</v>
      </c>
      <c r="H56" s="12" t="s">
        <v>64</v>
      </c>
      <c r="I56" s="13" t="n">
        <v>157636.06</v>
      </c>
      <c r="J56" s="13" t="n">
        <v>38573.39</v>
      </c>
      <c r="K56" s="14" t="n">
        <f aca="false">I56-J56</f>
        <v>119062.67</v>
      </c>
      <c r="L56" s="13" t="n">
        <v>45293.76</v>
      </c>
      <c r="M56" s="14" t="n">
        <f aca="false">K56-L56</f>
        <v>73768.91</v>
      </c>
      <c r="N56" s="13" t="n">
        <v>5517.26</v>
      </c>
      <c r="O56" s="13" t="n">
        <v>4524.82</v>
      </c>
      <c r="P56" s="13" t="n">
        <v>15294.44</v>
      </c>
      <c r="Q56" s="14" t="n">
        <f aca="false">M56-N56-O56-P56</f>
        <v>48432.39</v>
      </c>
      <c r="R56" s="15" t="n">
        <f aca="false">IFERROR(K56/I56,0)</f>
        <v>0.755300976185271</v>
      </c>
      <c r="S56" s="15" t="n">
        <f aca="false">IFERROR(M56/I56,0)</f>
        <v>0.46796976529355</v>
      </c>
      <c r="T56" s="15" t="n">
        <f aca="false">IFERROR(Q56/I56,0)</f>
        <v>0.307241820177439</v>
      </c>
      <c r="U56" s="13" t="n">
        <v>151633.54</v>
      </c>
      <c r="V56" s="14" t="n">
        <f aca="false">I56</f>
        <v>157636.06</v>
      </c>
      <c r="W56" s="13" t="n">
        <v>80365.78</v>
      </c>
      <c r="X56" s="14" t="n">
        <f aca="false">J56+L56</f>
        <v>83867.15</v>
      </c>
      <c r="Y56" s="14" t="n">
        <f aca="false">V56-U56</f>
        <v>6002.51999999999</v>
      </c>
      <c r="Z56" s="13" t="n">
        <v>251101.71</v>
      </c>
      <c r="AA56" s="13" t="n">
        <v>57004.33</v>
      </c>
      <c r="AB56" s="13" t="n">
        <v>192910.09</v>
      </c>
      <c r="AC56" s="14" t="n">
        <f aca="false">Z56-AA56</f>
        <v>194097.38</v>
      </c>
    </row>
    <row r="57" customFormat="false" ht="15" hidden="false" customHeight="false" outlineLevel="0" collapsed="false">
      <c r="A57" s="11" t="n">
        <v>45505</v>
      </c>
      <c r="B57" s="12" t="s">
        <v>54</v>
      </c>
      <c r="C57" s="12" t="s">
        <v>53</v>
      </c>
      <c r="D57" s="12" t="n">
        <v>2024</v>
      </c>
      <c r="E57" s="12" t="s">
        <v>42</v>
      </c>
      <c r="F57" s="12" t="s">
        <v>63</v>
      </c>
      <c r="G57" s="12" t="s">
        <v>44</v>
      </c>
      <c r="H57" s="12" t="s">
        <v>64</v>
      </c>
      <c r="I57" s="13" t="n">
        <v>141651.01</v>
      </c>
      <c r="J57" s="13" t="n">
        <v>37024.81</v>
      </c>
      <c r="K57" s="14" t="n">
        <f aca="false">I57-J57</f>
        <v>104626.2</v>
      </c>
      <c r="L57" s="13" t="n">
        <v>41652.42</v>
      </c>
      <c r="M57" s="14" t="n">
        <f aca="false">K57-L57</f>
        <v>62973.78</v>
      </c>
      <c r="N57" s="13" t="n">
        <v>4957.79</v>
      </c>
      <c r="O57" s="13" t="n">
        <v>4623.94</v>
      </c>
      <c r="P57" s="13" t="n">
        <v>12814.09</v>
      </c>
      <c r="Q57" s="14" t="n">
        <f aca="false">M57-N57-O57-P57</f>
        <v>40577.96</v>
      </c>
      <c r="R57" s="15" t="n">
        <f aca="false">IFERROR(K57/I57,0)</f>
        <v>0.738619512843572</v>
      </c>
      <c r="S57" s="15" t="n">
        <f aca="false">IFERROR(M57/I57,0)</f>
        <v>0.444569932822929</v>
      </c>
      <c r="T57" s="15" t="n">
        <f aca="false">IFERROR(Q57/I57,0)</f>
        <v>0.286464318185942</v>
      </c>
      <c r="U57" s="13" t="n">
        <v>153301.51</v>
      </c>
      <c r="V57" s="14" t="n">
        <f aca="false">I57</f>
        <v>141651.01</v>
      </c>
      <c r="W57" s="13" t="n">
        <v>81249.8</v>
      </c>
      <c r="X57" s="14" t="n">
        <f aca="false">J57+L57</f>
        <v>78677.23</v>
      </c>
      <c r="Y57" s="14" t="n">
        <f aca="false">V57-U57</f>
        <v>-11650.5</v>
      </c>
      <c r="Z57" s="13" t="n">
        <v>222982.29</v>
      </c>
      <c r="AA57" s="13" t="n">
        <v>51968.27</v>
      </c>
      <c r="AB57" s="13" t="n">
        <v>189192.66</v>
      </c>
      <c r="AC57" s="14" t="n">
        <f aca="false">Z57-AA57</f>
        <v>171014.02</v>
      </c>
    </row>
    <row r="58" customFormat="false" ht="15" hidden="false" customHeight="false" outlineLevel="0" collapsed="false">
      <c r="A58" s="11" t="n">
        <v>45536</v>
      </c>
      <c r="B58" s="12" t="s">
        <v>55</v>
      </c>
      <c r="C58" s="12" t="s">
        <v>53</v>
      </c>
      <c r="D58" s="12" t="n">
        <v>2024</v>
      </c>
      <c r="E58" s="12" t="s">
        <v>42</v>
      </c>
      <c r="F58" s="12" t="s">
        <v>63</v>
      </c>
      <c r="G58" s="12" t="s">
        <v>44</v>
      </c>
      <c r="H58" s="12" t="s">
        <v>64</v>
      </c>
      <c r="I58" s="13" t="n">
        <v>154602.35</v>
      </c>
      <c r="J58" s="13" t="n">
        <v>33598.9</v>
      </c>
      <c r="K58" s="14" t="n">
        <f aca="false">I58-J58</f>
        <v>121003.45</v>
      </c>
      <c r="L58" s="13" t="n">
        <v>45317.38</v>
      </c>
      <c r="M58" s="14" t="n">
        <f aca="false">K58-L58</f>
        <v>75686.07</v>
      </c>
      <c r="N58" s="13" t="n">
        <v>5411.08</v>
      </c>
      <c r="O58" s="13" t="n">
        <v>3968.05</v>
      </c>
      <c r="P58" s="13" t="n">
        <v>15913.67</v>
      </c>
      <c r="Q58" s="14" t="n">
        <f aca="false">M58-N58-O58-P58</f>
        <v>50393.27</v>
      </c>
      <c r="R58" s="15" t="n">
        <f aca="false">IFERROR(K58/I58,0)</f>
        <v>0.782675360368067</v>
      </c>
      <c r="S58" s="15" t="n">
        <f aca="false">IFERROR(M58/I58,0)</f>
        <v>0.489553166559241</v>
      </c>
      <c r="T58" s="15" t="n">
        <f aca="false">IFERROR(Q58/I58,0)</f>
        <v>0.325954100956421</v>
      </c>
      <c r="U58" s="13" t="n">
        <v>154987.83</v>
      </c>
      <c r="V58" s="14" t="n">
        <f aca="false">I58</f>
        <v>154602.35</v>
      </c>
      <c r="W58" s="13" t="n">
        <v>82143.55</v>
      </c>
      <c r="X58" s="14" t="n">
        <f aca="false">J58+L58</f>
        <v>78916.28</v>
      </c>
      <c r="Y58" s="14" t="n">
        <f aca="false">V58-U58</f>
        <v>-385.479999999981</v>
      </c>
      <c r="Z58" s="13" t="n">
        <v>248648.63</v>
      </c>
      <c r="AA58" s="13" t="n">
        <v>54496.69</v>
      </c>
      <c r="AB58" s="13" t="n">
        <v>187829.21</v>
      </c>
      <c r="AC58" s="14" t="n">
        <f aca="false">Z58-AA58</f>
        <v>194151.94</v>
      </c>
    </row>
    <row r="59" customFormat="false" ht="15" hidden="false" customHeight="false" outlineLevel="0" collapsed="false">
      <c r="A59" s="11" t="n">
        <v>45566</v>
      </c>
      <c r="B59" s="12" t="s">
        <v>56</v>
      </c>
      <c r="C59" s="12" t="s">
        <v>57</v>
      </c>
      <c r="D59" s="12" t="n">
        <v>2024</v>
      </c>
      <c r="E59" s="12" t="s">
        <v>42</v>
      </c>
      <c r="F59" s="12" t="s">
        <v>63</v>
      </c>
      <c r="G59" s="12" t="s">
        <v>44</v>
      </c>
      <c r="H59" s="12" t="s">
        <v>64</v>
      </c>
      <c r="I59" s="13" t="n">
        <v>151756.38</v>
      </c>
      <c r="J59" s="13" t="n">
        <v>38622.13</v>
      </c>
      <c r="K59" s="14" t="n">
        <f aca="false">I59-J59</f>
        <v>113134.25</v>
      </c>
      <c r="L59" s="13" t="n">
        <v>46560.1</v>
      </c>
      <c r="M59" s="14" t="n">
        <f aca="false">K59-L59</f>
        <v>66574.15</v>
      </c>
      <c r="N59" s="13" t="n">
        <v>5311.47</v>
      </c>
      <c r="O59" s="13" t="n">
        <v>3636.52</v>
      </c>
      <c r="P59" s="13" t="n">
        <v>13830.28</v>
      </c>
      <c r="Q59" s="14" t="n">
        <f aca="false">M59-N59-O59-P59</f>
        <v>43795.88</v>
      </c>
      <c r="R59" s="15" t="n">
        <f aca="false">IFERROR(K59/I59,0)</f>
        <v>0.745499134863391</v>
      </c>
      <c r="S59" s="15" t="n">
        <f aca="false">IFERROR(M59/I59,0)</f>
        <v>0.438690946634336</v>
      </c>
      <c r="T59" s="15" t="n">
        <f aca="false">IFERROR(Q59/I59,0)</f>
        <v>0.288593336240625</v>
      </c>
      <c r="U59" s="13" t="n">
        <v>156692.69</v>
      </c>
      <c r="V59" s="14" t="n">
        <f aca="false">I59</f>
        <v>151756.38</v>
      </c>
      <c r="W59" s="13" t="n">
        <v>83047.13</v>
      </c>
      <c r="X59" s="14" t="n">
        <f aca="false">J59+L59</f>
        <v>85182.23</v>
      </c>
      <c r="Y59" s="14" t="n">
        <f aca="false">V59-U59</f>
        <v>-4936.31</v>
      </c>
      <c r="Z59" s="13" t="n">
        <v>229153.95</v>
      </c>
      <c r="AA59" s="13" t="n">
        <v>54370.62</v>
      </c>
      <c r="AB59" s="13" t="n">
        <v>191847.28</v>
      </c>
      <c r="AC59" s="14" t="n">
        <f aca="false">Z59-AA59</f>
        <v>174783.33</v>
      </c>
    </row>
    <row r="60" customFormat="false" ht="15" hidden="false" customHeight="false" outlineLevel="0" collapsed="false">
      <c r="A60" s="11" t="n">
        <v>45597</v>
      </c>
      <c r="B60" s="12" t="s">
        <v>58</v>
      </c>
      <c r="C60" s="12" t="s">
        <v>57</v>
      </c>
      <c r="D60" s="12" t="n">
        <v>2024</v>
      </c>
      <c r="E60" s="12" t="s">
        <v>42</v>
      </c>
      <c r="F60" s="12" t="s">
        <v>63</v>
      </c>
      <c r="G60" s="12" t="s">
        <v>44</v>
      </c>
      <c r="H60" s="12" t="s">
        <v>64</v>
      </c>
      <c r="I60" s="13" t="n">
        <v>153710.93</v>
      </c>
      <c r="J60" s="13" t="n">
        <v>32372.93</v>
      </c>
      <c r="K60" s="14" t="n">
        <f aca="false">I60-J60</f>
        <v>121338</v>
      </c>
      <c r="L60" s="13" t="n">
        <v>49217.32</v>
      </c>
      <c r="M60" s="14" t="n">
        <f aca="false">K60-L60</f>
        <v>72120.68</v>
      </c>
      <c r="N60" s="13" t="n">
        <v>5379.88</v>
      </c>
      <c r="O60" s="13" t="n">
        <v>3644.88</v>
      </c>
      <c r="P60" s="13" t="n">
        <v>15143.02</v>
      </c>
      <c r="Q60" s="14" t="n">
        <f aca="false">M60-N60-O60-P60</f>
        <v>47952.9</v>
      </c>
      <c r="R60" s="15" t="n">
        <f aca="false">IFERROR(K60/I60,0)</f>
        <v>0.789390839024915</v>
      </c>
      <c r="S60" s="15" t="n">
        <f aca="false">IFERROR(M60/I60,0)</f>
        <v>0.469196822893466</v>
      </c>
      <c r="T60" s="15" t="n">
        <f aca="false">IFERROR(Q60/I60,0)</f>
        <v>0.311968055882558</v>
      </c>
      <c r="U60" s="13" t="n">
        <v>158416.31</v>
      </c>
      <c r="V60" s="14" t="n">
        <f aca="false">I60</f>
        <v>153710.93</v>
      </c>
      <c r="W60" s="13" t="n">
        <v>83960.65</v>
      </c>
      <c r="X60" s="14" t="n">
        <f aca="false">J60+L60</f>
        <v>81590.25</v>
      </c>
      <c r="Y60" s="14" t="n">
        <f aca="false">V60-U60</f>
        <v>-4705.38000000001</v>
      </c>
      <c r="Z60" s="13" t="n">
        <v>238785.52</v>
      </c>
      <c r="AA60" s="13" t="n">
        <v>57329.32</v>
      </c>
      <c r="AB60" s="13" t="n">
        <v>185318.29</v>
      </c>
      <c r="AC60" s="14" t="n">
        <f aca="false">Z60-AA60</f>
        <v>181456.2</v>
      </c>
    </row>
    <row r="61" customFormat="false" ht="15" hidden="false" customHeight="false" outlineLevel="0" collapsed="false">
      <c r="A61" s="11" t="n">
        <v>45627</v>
      </c>
      <c r="B61" s="12" t="s">
        <v>59</v>
      </c>
      <c r="C61" s="12" t="s">
        <v>57</v>
      </c>
      <c r="D61" s="12" t="n">
        <v>2024</v>
      </c>
      <c r="E61" s="12" t="s">
        <v>42</v>
      </c>
      <c r="F61" s="12" t="s">
        <v>63</v>
      </c>
      <c r="G61" s="12" t="s">
        <v>44</v>
      </c>
      <c r="H61" s="12" t="s">
        <v>64</v>
      </c>
      <c r="I61" s="13" t="n">
        <v>169348.05</v>
      </c>
      <c r="J61" s="13" t="n">
        <v>36132.31</v>
      </c>
      <c r="K61" s="14" t="n">
        <f aca="false">I61-J61</f>
        <v>133215.74</v>
      </c>
      <c r="L61" s="13" t="n">
        <v>44654.08</v>
      </c>
      <c r="M61" s="14" t="n">
        <f aca="false">K61-L61</f>
        <v>88561.66</v>
      </c>
      <c r="N61" s="13" t="n">
        <v>5927.18</v>
      </c>
      <c r="O61" s="13" t="n">
        <v>3093.3</v>
      </c>
      <c r="P61" s="13" t="n">
        <v>19089.88</v>
      </c>
      <c r="Q61" s="14" t="n">
        <f aca="false">M61-N61-O61-P61</f>
        <v>60451.3</v>
      </c>
      <c r="R61" s="15" t="n">
        <f aca="false">IFERROR(K61/I61,0)</f>
        <v>0.786638759643232</v>
      </c>
      <c r="S61" s="15" t="n">
        <f aca="false">IFERROR(M61/I61,0)</f>
        <v>0.522956479274488</v>
      </c>
      <c r="T61" s="15" t="n">
        <f aca="false">IFERROR(Q61/I61,0)</f>
        <v>0.356964842524021</v>
      </c>
      <c r="U61" s="13" t="n">
        <v>160158.89</v>
      </c>
      <c r="V61" s="14" t="n">
        <f aca="false">I61</f>
        <v>169348.05</v>
      </c>
      <c r="W61" s="13" t="n">
        <v>84884.21</v>
      </c>
      <c r="X61" s="14" t="n">
        <f aca="false">J61+L61</f>
        <v>80786.39</v>
      </c>
      <c r="Y61" s="14" t="n">
        <f aca="false">V61-U61</f>
        <v>9189.15999999997</v>
      </c>
      <c r="Z61" s="13" t="n">
        <v>252202.78</v>
      </c>
      <c r="AA61" s="13" t="n">
        <v>52790.55</v>
      </c>
      <c r="AB61" s="13" t="n">
        <v>181113.53</v>
      </c>
      <c r="AC61" s="14" t="n">
        <f aca="false">Z61-AA61</f>
        <v>199412.23</v>
      </c>
    </row>
    <row r="62" customFormat="false" ht="15" hidden="false" customHeight="false" outlineLevel="0" collapsed="false">
      <c r="A62" s="11" t="n">
        <v>45658</v>
      </c>
      <c r="B62" s="12" t="s">
        <v>40</v>
      </c>
      <c r="C62" s="12" t="s">
        <v>41</v>
      </c>
      <c r="D62" s="12" t="n">
        <v>2025</v>
      </c>
      <c r="E62" s="12" t="s">
        <v>42</v>
      </c>
      <c r="F62" s="12" t="s">
        <v>63</v>
      </c>
      <c r="G62" s="12" t="s">
        <v>44</v>
      </c>
      <c r="H62" s="12" t="s">
        <v>64</v>
      </c>
      <c r="I62" s="13" t="n">
        <v>162301.7</v>
      </c>
      <c r="J62" s="13" t="n">
        <v>32592.4</v>
      </c>
      <c r="K62" s="14" t="n">
        <f aca="false">I62-J62</f>
        <v>129709.3</v>
      </c>
      <c r="L62" s="13" t="n">
        <v>49962.15</v>
      </c>
      <c r="M62" s="14" t="n">
        <f aca="false">K62-L62</f>
        <v>79747.15</v>
      </c>
      <c r="N62" s="13" t="n">
        <v>5680.56</v>
      </c>
      <c r="O62" s="13" t="n">
        <v>4341.55</v>
      </c>
      <c r="P62" s="13" t="n">
        <v>16734.01</v>
      </c>
      <c r="Q62" s="14" t="n">
        <f aca="false">M62-N62-O62-P62</f>
        <v>52991.03</v>
      </c>
      <c r="R62" s="15" t="n">
        <f aca="false">IFERROR(K62/I62,0)</f>
        <v>0.799186330149345</v>
      </c>
      <c r="S62" s="15" t="n">
        <f aca="false">IFERROR(M62/I62,0)</f>
        <v>0.49135129206903</v>
      </c>
      <c r="T62" s="15" t="n">
        <f aca="false">IFERROR(Q62/I62,0)</f>
        <v>0.326497073043597</v>
      </c>
      <c r="U62" s="13" t="n">
        <v>161920.64</v>
      </c>
      <c r="V62" s="14" t="n">
        <f aca="false">I62</f>
        <v>162301.7</v>
      </c>
      <c r="W62" s="13" t="n">
        <v>85817.94</v>
      </c>
      <c r="X62" s="14" t="n">
        <f aca="false">J62+L62</f>
        <v>82554.55</v>
      </c>
      <c r="Y62" s="14" t="n">
        <f aca="false">V62-U62</f>
        <v>381.059999999998</v>
      </c>
      <c r="Z62" s="13" t="n">
        <v>255445.68</v>
      </c>
      <c r="AA62" s="13" t="n">
        <v>60573.63</v>
      </c>
      <c r="AB62" s="13" t="n">
        <v>182307.26</v>
      </c>
      <c r="AC62" s="14" t="n">
        <f aca="false">Z62-AA62</f>
        <v>194872.05</v>
      </c>
    </row>
    <row r="63" customFormat="false" ht="15" hidden="false" customHeight="false" outlineLevel="0" collapsed="false">
      <c r="A63" s="11" t="n">
        <v>45689</v>
      </c>
      <c r="B63" s="12" t="s">
        <v>46</v>
      </c>
      <c r="C63" s="12" t="s">
        <v>41</v>
      </c>
      <c r="D63" s="12" t="n">
        <v>2025</v>
      </c>
      <c r="E63" s="12" t="s">
        <v>42</v>
      </c>
      <c r="F63" s="12" t="s">
        <v>63</v>
      </c>
      <c r="G63" s="12" t="s">
        <v>44</v>
      </c>
      <c r="H63" s="12" t="s">
        <v>64</v>
      </c>
      <c r="I63" s="13" t="n">
        <v>169930.91</v>
      </c>
      <c r="J63" s="13" t="n">
        <v>40024.67</v>
      </c>
      <c r="K63" s="14" t="n">
        <f aca="false">I63-J63</f>
        <v>129906.24</v>
      </c>
      <c r="L63" s="13" t="n">
        <v>47228.52</v>
      </c>
      <c r="M63" s="14" t="n">
        <f aca="false">K63-L63</f>
        <v>82677.72</v>
      </c>
      <c r="N63" s="13" t="n">
        <v>5947.58</v>
      </c>
      <c r="O63" s="13" t="n">
        <v>3174.68</v>
      </c>
      <c r="P63" s="13" t="n">
        <v>17653.31</v>
      </c>
      <c r="Q63" s="14" t="n">
        <f aca="false">M63-N63-O63-P63</f>
        <v>55902.15</v>
      </c>
      <c r="R63" s="15" t="n">
        <f aca="false">IFERROR(K63/I63,0)</f>
        <v>0.764465040527353</v>
      </c>
      <c r="S63" s="15" t="n">
        <f aca="false">IFERROR(M63/I63,0)</f>
        <v>0.486537263879773</v>
      </c>
      <c r="T63" s="15" t="n">
        <f aca="false">IFERROR(Q63/I63,0)</f>
        <v>0.328969873697493</v>
      </c>
      <c r="U63" s="13" t="n">
        <v>163701.77</v>
      </c>
      <c r="V63" s="14" t="n">
        <f aca="false">I63</f>
        <v>169930.91</v>
      </c>
      <c r="W63" s="13" t="n">
        <v>86761.94</v>
      </c>
      <c r="X63" s="14" t="n">
        <f aca="false">J63+L63</f>
        <v>87253.19</v>
      </c>
      <c r="Y63" s="14" t="n">
        <f aca="false">V63-U63</f>
        <v>6229.14000000001</v>
      </c>
      <c r="Z63" s="13" t="n">
        <v>257307.74</v>
      </c>
      <c r="AA63" s="13" t="n">
        <v>56489.41</v>
      </c>
      <c r="AB63" s="13" t="n">
        <v>187748.62</v>
      </c>
      <c r="AC63" s="14" t="n">
        <f aca="false">Z63-AA63</f>
        <v>200818.33</v>
      </c>
    </row>
    <row r="64" customFormat="false" ht="15" hidden="false" customHeight="false" outlineLevel="0" collapsed="false">
      <c r="A64" s="11" t="n">
        <v>45717</v>
      </c>
      <c r="B64" s="12" t="s">
        <v>47</v>
      </c>
      <c r="C64" s="12" t="s">
        <v>41</v>
      </c>
      <c r="D64" s="12" t="n">
        <v>2025</v>
      </c>
      <c r="E64" s="12" t="s">
        <v>42</v>
      </c>
      <c r="F64" s="12" t="s">
        <v>63</v>
      </c>
      <c r="G64" s="12" t="s">
        <v>44</v>
      </c>
      <c r="H64" s="12" t="s">
        <v>64</v>
      </c>
      <c r="I64" s="13" t="n">
        <v>174334.38</v>
      </c>
      <c r="J64" s="13" t="n">
        <v>45336.83</v>
      </c>
      <c r="K64" s="14" t="n">
        <f aca="false">I64-J64</f>
        <v>128997.55</v>
      </c>
      <c r="L64" s="13" t="n">
        <v>51391.11</v>
      </c>
      <c r="M64" s="14" t="n">
        <f aca="false">K64-L64</f>
        <v>77606.44</v>
      </c>
      <c r="N64" s="13" t="n">
        <v>6101.7</v>
      </c>
      <c r="O64" s="13" t="n">
        <v>3718.93</v>
      </c>
      <c r="P64" s="13" t="n">
        <v>16268.59</v>
      </c>
      <c r="Q64" s="14" t="n">
        <f aca="false">M64-N64-O64-P64</f>
        <v>51517.22</v>
      </c>
      <c r="R64" s="15" t="n">
        <f aca="false">IFERROR(K64/I64,0)</f>
        <v>0.739943263055744</v>
      </c>
      <c r="S64" s="15" t="n">
        <f aca="false">IFERROR(M64/I64,0)</f>
        <v>0.445158551055736</v>
      </c>
      <c r="T64" s="15" t="n">
        <f aca="false">IFERROR(Q64/I64,0)</f>
        <v>0.295508091978186</v>
      </c>
      <c r="U64" s="13" t="n">
        <v>165502.49</v>
      </c>
      <c r="V64" s="14" t="n">
        <f aca="false">I64</f>
        <v>174334.38</v>
      </c>
      <c r="W64" s="13" t="n">
        <v>87716.32</v>
      </c>
      <c r="X64" s="14" t="n">
        <f aca="false">J64+L64</f>
        <v>96727.94</v>
      </c>
      <c r="Y64" s="14" t="n">
        <f aca="false">V64-U64</f>
        <v>8831.89000000001</v>
      </c>
      <c r="Z64" s="13" t="n">
        <v>260207.89</v>
      </c>
      <c r="AA64" s="13" t="n">
        <v>62549.66</v>
      </c>
      <c r="AB64" s="13" t="n">
        <v>191249.52</v>
      </c>
      <c r="AC64" s="14" t="n">
        <f aca="false">Z64-AA64</f>
        <v>197658.23</v>
      </c>
    </row>
    <row r="65" customFormat="false" ht="15" hidden="false" customHeight="false" outlineLevel="0" collapsed="false">
      <c r="A65" s="11" t="n">
        <v>45748</v>
      </c>
      <c r="B65" s="12" t="s">
        <v>48</v>
      </c>
      <c r="C65" s="12" t="s">
        <v>49</v>
      </c>
      <c r="D65" s="12" t="n">
        <v>2025</v>
      </c>
      <c r="E65" s="12" t="s">
        <v>42</v>
      </c>
      <c r="F65" s="12" t="s">
        <v>63</v>
      </c>
      <c r="G65" s="12" t="s">
        <v>44</v>
      </c>
      <c r="H65" s="12" t="s">
        <v>64</v>
      </c>
      <c r="I65" s="13" t="n">
        <v>175035.56</v>
      </c>
      <c r="J65" s="13" t="n">
        <v>45257.14</v>
      </c>
      <c r="K65" s="14" t="n">
        <f aca="false">I65-J65</f>
        <v>129778.42</v>
      </c>
      <c r="L65" s="13" t="n">
        <v>49696.57</v>
      </c>
      <c r="M65" s="14" t="n">
        <f aca="false">K65-L65</f>
        <v>80081.85</v>
      </c>
      <c r="N65" s="13" t="n">
        <v>6126.24</v>
      </c>
      <c r="O65" s="13" t="n">
        <v>4388.18</v>
      </c>
      <c r="P65" s="13" t="n">
        <v>16696.18</v>
      </c>
      <c r="Q65" s="14" t="n">
        <f aca="false">M65-N65-O65-P65</f>
        <v>52871.25</v>
      </c>
      <c r="R65" s="15" t="n">
        <f aca="false">IFERROR(K65/I65,0)</f>
        <v>0.741440310757426</v>
      </c>
      <c r="S65" s="15" t="n">
        <f aca="false">IFERROR(M65/I65,0)</f>
        <v>0.457517603851469</v>
      </c>
      <c r="T65" s="15" t="n">
        <f aca="false">IFERROR(Q65/I65,0)</f>
        <v>0.302060049969275</v>
      </c>
      <c r="U65" s="13" t="n">
        <v>167323.01</v>
      </c>
      <c r="V65" s="14" t="n">
        <f aca="false">I65</f>
        <v>175035.56</v>
      </c>
      <c r="W65" s="13" t="n">
        <v>88681.2</v>
      </c>
      <c r="X65" s="14" t="n">
        <f aca="false">J65+L65</f>
        <v>94953.71</v>
      </c>
      <c r="Y65" s="14" t="n">
        <f aca="false">V65-U65</f>
        <v>7712.54999999999</v>
      </c>
      <c r="Z65" s="13" t="n">
        <v>270907.75</v>
      </c>
      <c r="AA65" s="13" t="n">
        <v>61138.77</v>
      </c>
      <c r="AB65" s="13" t="n">
        <v>195319.33</v>
      </c>
      <c r="AC65" s="14" t="n">
        <f aca="false">Z65-AA65</f>
        <v>209768.98</v>
      </c>
    </row>
    <row r="66" customFormat="false" ht="15" hidden="false" customHeight="false" outlineLevel="0" collapsed="false">
      <c r="A66" s="11" t="n">
        <v>45778</v>
      </c>
      <c r="B66" s="12" t="s">
        <v>50</v>
      </c>
      <c r="C66" s="12" t="s">
        <v>49</v>
      </c>
      <c r="D66" s="12" t="n">
        <v>2025</v>
      </c>
      <c r="E66" s="12" t="s">
        <v>42</v>
      </c>
      <c r="F66" s="12" t="s">
        <v>63</v>
      </c>
      <c r="G66" s="12" t="s">
        <v>44</v>
      </c>
      <c r="H66" s="12" t="s">
        <v>64</v>
      </c>
      <c r="I66" s="13" t="n">
        <v>172656.26</v>
      </c>
      <c r="J66" s="13" t="n">
        <v>39145.64</v>
      </c>
      <c r="K66" s="14" t="n">
        <f aca="false">I66-J66</f>
        <v>133510.62</v>
      </c>
      <c r="L66" s="13" t="n">
        <v>49712.65</v>
      </c>
      <c r="M66" s="14" t="n">
        <f aca="false">K66-L66</f>
        <v>83797.97</v>
      </c>
      <c r="N66" s="13" t="n">
        <v>6042.97</v>
      </c>
      <c r="O66" s="13" t="n">
        <v>3634.02</v>
      </c>
      <c r="P66" s="13" t="n">
        <v>17789.04</v>
      </c>
      <c r="Q66" s="14" t="n">
        <f aca="false">M66-N66-O66-P66</f>
        <v>56331.94</v>
      </c>
      <c r="R66" s="15" t="n">
        <f aca="false">IFERROR(K66/I66,0)</f>
        <v>0.773274134398602</v>
      </c>
      <c r="S66" s="15" t="n">
        <f aca="false">IFERROR(M66/I66,0)</f>
        <v>0.485345680486766</v>
      </c>
      <c r="T66" s="15" t="n">
        <f aca="false">IFERROR(Q66/I66,0)</f>
        <v>0.326266420922126</v>
      </c>
      <c r="U66" s="13" t="n">
        <v>169163.57</v>
      </c>
      <c r="V66" s="14" t="n">
        <f aca="false">I66</f>
        <v>172656.26</v>
      </c>
      <c r="W66" s="13" t="n">
        <v>89656.69</v>
      </c>
      <c r="X66" s="14" t="n">
        <f aca="false">J66+L66</f>
        <v>88858.29</v>
      </c>
      <c r="Y66" s="14" t="n">
        <f aca="false">V66-U66</f>
        <v>3492.69</v>
      </c>
      <c r="Z66" s="13" t="n">
        <v>284017.05</v>
      </c>
      <c r="AA66" s="13" t="n">
        <v>58760.12</v>
      </c>
      <c r="AB66" s="13" t="n">
        <v>192102.52</v>
      </c>
      <c r="AC66" s="14" t="n">
        <f aca="false">Z66-AA66</f>
        <v>225256.93</v>
      </c>
    </row>
    <row r="67" customFormat="false" ht="15" hidden="false" customHeight="false" outlineLevel="0" collapsed="false">
      <c r="A67" s="11" t="n">
        <v>45809</v>
      </c>
      <c r="B67" s="12" t="s">
        <v>51</v>
      </c>
      <c r="C67" s="12" t="s">
        <v>49</v>
      </c>
      <c r="D67" s="12" t="n">
        <v>2025</v>
      </c>
      <c r="E67" s="12" t="s">
        <v>42</v>
      </c>
      <c r="F67" s="12" t="s">
        <v>63</v>
      </c>
      <c r="G67" s="12" t="s">
        <v>44</v>
      </c>
      <c r="H67" s="12" t="s">
        <v>64</v>
      </c>
      <c r="I67" s="13" t="n">
        <v>157748.45</v>
      </c>
      <c r="J67" s="13" t="n">
        <v>34800.15</v>
      </c>
      <c r="K67" s="14" t="n">
        <f aca="false">I67-J67</f>
        <v>122948.3</v>
      </c>
      <c r="L67" s="13" t="n">
        <v>45351.21</v>
      </c>
      <c r="M67" s="14" t="n">
        <f aca="false">K67-L67</f>
        <v>77597.09</v>
      </c>
      <c r="N67" s="13" t="n">
        <v>5521.2</v>
      </c>
      <c r="O67" s="13" t="n">
        <v>1869.29</v>
      </c>
      <c r="P67" s="13" t="n">
        <v>16849.58</v>
      </c>
      <c r="Q67" s="14" t="n">
        <f aca="false">M67-N67-O67-P67</f>
        <v>53357.02</v>
      </c>
      <c r="R67" s="15" t="n">
        <f aca="false">IFERROR(K67/I67,0)</f>
        <v>0.779394662831869</v>
      </c>
      <c r="S67" s="15" t="n">
        <f aca="false">IFERROR(M67/I67,0)</f>
        <v>0.491903977503424</v>
      </c>
      <c r="T67" s="15" t="n">
        <f aca="false">IFERROR(Q67/I67,0)</f>
        <v>0.338241168138261</v>
      </c>
      <c r="U67" s="13" t="n">
        <v>171024.37</v>
      </c>
      <c r="V67" s="14" t="n">
        <f aca="false">I67</f>
        <v>157748.45</v>
      </c>
      <c r="W67" s="13" t="n">
        <v>90642.91</v>
      </c>
      <c r="X67" s="14" t="n">
        <f aca="false">J67+L67</f>
        <v>80151.36</v>
      </c>
      <c r="Y67" s="14" t="n">
        <f aca="false">V67-U67</f>
        <v>-13275.92</v>
      </c>
      <c r="Z67" s="13" t="n">
        <v>238548.24</v>
      </c>
      <c r="AA67" s="13" t="n">
        <v>52387.29</v>
      </c>
      <c r="AB67" s="13" t="n">
        <v>192073.26</v>
      </c>
      <c r="AC67" s="14" t="n">
        <f aca="false">Z67-AA67</f>
        <v>186160.95</v>
      </c>
    </row>
    <row r="68" customFormat="false" ht="15" hidden="false" customHeight="false" outlineLevel="0" collapsed="false">
      <c r="A68" s="11" t="n">
        <v>45839</v>
      </c>
      <c r="B68" s="12" t="s">
        <v>52</v>
      </c>
      <c r="C68" s="12" t="s">
        <v>53</v>
      </c>
      <c r="D68" s="12" t="n">
        <v>2025</v>
      </c>
      <c r="E68" s="12" t="s">
        <v>42</v>
      </c>
      <c r="F68" s="12" t="s">
        <v>63</v>
      </c>
      <c r="G68" s="12" t="s">
        <v>44</v>
      </c>
      <c r="H68" s="12" t="s">
        <v>64</v>
      </c>
      <c r="I68" s="13" t="n">
        <v>166966.3</v>
      </c>
      <c r="J68" s="13" t="n">
        <v>36308.64</v>
      </c>
      <c r="K68" s="14" t="n">
        <f aca="false">I68-J68</f>
        <v>130657.66</v>
      </c>
      <c r="L68" s="13" t="n">
        <v>52381.84</v>
      </c>
      <c r="M68" s="14" t="n">
        <f aca="false">K68-L68</f>
        <v>78275.82</v>
      </c>
      <c r="N68" s="13" t="n">
        <v>5843.82</v>
      </c>
      <c r="O68" s="13" t="n">
        <v>4407.45</v>
      </c>
      <c r="P68" s="13" t="n">
        <v>16325.89</v>
      </c>
      <c r="Q68" s="14" t="n">
        <f aca="false">M68-N68-O68-P68</f>
        <v>51698.66</v>
      </c>
      <c r="R68" s="15" t="n">
        <f aca="false">IFERROR(K68/I68,0)</f>
        <v>0.78253911118591</v>
      </c>
      <c r="S68" s="15" t="n">
        <f aca="false">IFERROR(M68/I68,0)</f>
        <v>0.468812089625272</v>
      </c>
      <c r="T68" s="15" t="n">
        <f aca="false">IFERROR(Q68/I68,0)</f>
        <v>0.309635297661864</v>
      </c>
      <c r="U68" s="13" t="n">
        <v>172905.63</v>
      </c>
      <c r="V68" s="14" t="n">
        <f aca="false">I68</f>
        <v>166966.3</v>
      </c>
      <c r="W68" s="13" t="n">
        <v>91639.99</v>
      </c>
      <c r="X68" s="14" t="n">
        <f aca="false">J68+L68</f>
        <v>88690.48</v>
      </c>
      <c r="Y68" s="14" t="n">
        <f aca="false">V68-U68</f>
        <v>-5939.33000000002</v>
      </c>
      <c r="Z68" s="13" t="n">
        <v>252890.55</v>
      </c>
      <c r="AA68" s="13" t="n">
        <v>63532.35</v>
      </c>
      <c r="AB68" s="13" t="n">
        <v>192816.86</v>
      </c>
      <c r="AC68" s="14" t="n">
        <f aca="false">Z68-AA68</f>
        <v>189358.2</v>
      </c>
    </row>
    <row r="69" customFormat="false" ht="15" hidden="false" customHeight="false" outlineLevel="0" collapsed="false">
      <c r="A69" s="11" t="n">
        <v>45870</v>
      </c>
      <c r="B69" s="12" t="s">
        <v>54</v>
      </c>
      <c r="C69" s="12" t="s">
        <v>53</v>
      </c>
      <c r="D69" s="12" t="n">
        <v>2025</v>
      </c>
      <c r="E69" s="12" t="s">
        <v>42</v>
      </c>
      <c r="F69" s="12" t="s">
        <v>63</v>
      </c>
      <c r="G69" s="12" t="s">
        <v>44</v>
      </c>
      <c r="H69" s="12" t="s">
        <v>64</v>
      </c>
      <c r="I69" s="13" t="n">
        <v>170065.84</v>
      </c>
      <c r="J69" s="13" t="n">
        <v>44526.32</v>
      </c>
      <c r="K69" s="14" t="n">
        <f aca="false">I69-J69</f>
        <v>125539.52</v>
      </c>
      <c r="L69" s="13" t="n">
        <v>42608.99</v>
      </c>
      <c r="M69" s="14" t="n">
        <f aca="false">K69-L69</f>
        <v>82930.53</v>
      </c>
      <c r="N69" s="13" t="n">
        <v>5952.3</v>
      </c>
      <c r="O69" s="13" t="n">
        <v>2860.65</v>
      </c>
      <c r="P69" s="13" t="n">
        <v>17788.22</v>
      </c>
      <c r="Q69" s="14" t="n">
        <f aca="false">M69-N69-O69-P69</f>
        <v>56329.36</v>
      </c>
      <c r="R69" s="15" t="n">
        <f aca="false">IFERROR(K69/I69,0)</f>
        <v>0.738181871209409</v>
      </c>
      <c r="S69" s="15" t="n">
        <f aca="false">IFERROR(M69/I69,0)</f>
        <v>0.487637787812062</v>
      </c>
      <c r="T69" s="15" t="n">
        <f aca="false">IFERROR(Q69/I69,0)</f>
        <v>0.331220896565707</v>
      </c>
      <c r="U69" s="13" t="n">
        <v>174807.6</v>
      </c>
      <c r="V69" s="14" t="n">
        <f aca="false">I69</f>
        <v>170065.84</v>
      </c>
      <c r="W69" s="13" t="n">
        <v>92648.03</v>
      </c>
      <c r="X69" s="14" t="n">
        <f aca="false">J69+L69</f>
        <v>87135.31</v>
      </c>
      <c r="Y69" s="14" t="n">
        <f aca="false">V69-U69</f>
        <v>-4741.76000000001</v>
      </c>
      <c r="Z69" s="13" t="n">
        <v>271161.66</v>
      </c>
      <c r="AA69" s="13" t="n">
        <v>53473.46</v>
      </c>
      <c r="AB69" s="13" t="n">
        <v>194140.68</v>
      </c>
      <c r="AC69" s="14" t="n">
        <f aca="false">Z69-AA69</f>
        <v>217688.2</v>
      </c>
    </row>
    <row r="70" customFormat="false" ht="15" hidden="false" customHeight="false" outlineLevel="0" collapsed="false">
      <c r="A70" s="11" t="n">
        <v>45901</v>
      </c>
      <c r="B70" s="12" t="s">
        <v>55</v>
      </c>
      <c r="C70" s="12" t="s">
        <v>53</v>
      </c>
      <c r="D70" s="12" t="n">
        <v>2025</v>
      </c>
      <c r="E70" s="12" t="s">
        <v>42</v>
      </c>
      <c r="F70" s="12" t="s">
        <v>63</v>
      </c>
      <c r="G70" s="12" t="s">
        <v>44</v>
      </c>
      <c r="H70" s="12" t="s">
        <v>64</v>
      </c>
      <c r="I70" s="13" t="n">
        <v>164463.36</v>
      </c>
      <c r="J70" s="13" t="n">
        <v>42622.6</v>
      </c>
      <c r="K70" s="14" t="n">
        <f aca="false">I70-J70</f>
        <v>121840.76</v>
      </c>
      <c r="L70" s="13" t="n">
        <v>56652.42</v>
      </c>
      <c r="M70" s="14" t="n">
        <f aca="false">K70-L70</f>
        <v>65188.34</v>
      </c>
      <c r="N70" s="13" t="n">
        <v>5756.22</v>
      </c>
      <c r="O70" s="13" t="n">
        <v>3932.62</v>
      </c>
      <c r="P70" s="13" t="n">
        <v>13319.88</v>
      </c>
      <c r="Q70" s="14" t="n">
        <f aca="false">M70-N70-O70-P70</f>
        <v>42179.62</v>
      </c>
      <c r="R70" s="15" t="n">
        <f aca="false">IFERROR(K70/I70,0)</f>
        <v>0.74083832411061</v>
      </c>
      <c r="S70" s="15" t="n">
        <f aca="false">IFERROR(M70/I70,0)</f>
        <v>0.396369987819779</v>
      </c>
      <c r="T70" s="15" t="n">
        <f aca="false">IFERROR(Q70/I70,0)</f>
        <v>0.256468188415949</v>
      </c>
      <c r="U70" s="13" t="n">
        <v>176730.48</v>
      </c>
      <c r="V70" s="14" t="n">
        <f aca="false">I70</f>
        <v>164463.36</v>
      </c>
      <c r="W70" s="13" t="n">
        <v>93667.15</v>
      </c>
      <c r="X70" s="14" t="n">
        <f aca="false">J70+L70</f>
        <v>99275.02</v>
      </c>
      <c r="Y70" s="14" t="n">
        <f aca="false">V70-U70</f>
        <v>-12267.12</v>
      </c>
      <c r="Z70" s="13" t="n">
        <v>247401.88</v>
      </c>
      <c r="AA70" s="13" t="n">
        <v>69835.31</v>
      </c>
      <c r="AB70" s="13" t="n">
        <v>198016.37</v>
      </c>
      <c r="AC70" s="14" t="n">
        <f aca="false">Z70-AA70</f>
        <v>177566.57</v>
      </c>
    </row>
    <row r="71" customFormat="false" ht="15" hidden="false" customHeight="false" outlineLevel="0" collapsed="false">
      <c r="A71" s="11" t="n">
        <v>45931</v>
      </c>
      <c r="B71" s="12" t="s">
        <v>56</v>
      </c>
      <c r="C71" s="12" t="s">
        <v>57</v>
      </c>
      <c r="D71" s="12" t="n">
        <v>2025</v>
      </c>
      <c r="E71" s="12" t="s">
        <v>42</v>
      </c>
      <c r="F71" s="12" t="s">
        <v>63</v>
      </c>
      <c r="G71" s="12" t="s">
        <v>44</v>
      </c>
      <c r="H71" s="12" t="s">
        <v>64</v>
      </c>
      <c r="I71" s="13" t="n">
        <v>167920.37</v>
      </c>
      <c r="J71" s="13" t="n">
        <v>47289.21</v>
      </c>
      <c r="K71" s="14" t="n">
        <f aca="false">I71-J71</f>
        <v>120631.16</v>
      </c>
      <c r="L71" s="13" t="n">
        <v>59057.84</v>
      </c>
      <c r="M71" s="14" t="n">
        <f aca="false">K71-L71</f>
        <v>61573.32</v>
      </c>
      <c r="N71" s="13" t="n">
        <v>5877.21</v>
      </c>
      <c r="O71" s="13" t="n">
        <v>3256.49</v>
      </c>
      <c r="P71" s="13" t="n">
        <v>12585.51</v>
      </c>
      <c r="Q71" s="14" t="n">
        <f aca="false">M71-N71-O71-P71</f>
        <v>39854.11</v>
      </c>
      <c r="R71" s="15" t="n">
        <f aca="false">IFERROR(K71/I71,0)</f>
        <v>0.718383124096261</v>
      </c>
      <c r="S71" s="15" t="n">
        <f aca="false">IFERROR(M71/I71,0)</f>
        <v>0.366681659884385</v>
      </c>
      <c r="T71" s="15" t="n">
        <f aca="false">IFERROR(Q71/I71,0)</f>
        <v>0.237339341260384</v>
      </c>
      <c r="U71" s="13" t="n">
        <v>178674.51</v>
      </c>
      <c r="V71" s="14" t="n">
        <f aca="false">I71</f>
        <v>167920.37</v>
      </c>
      <c r="W71" s="13" t="n">
        <v>94697.49</v>
      </c>
      <c r="X71" s="14" t="n">
        <f aca="false">J71+L71</f>
        <v>106347.05</v>
      </c>
      <c r="Y71" s="14" t="n">
        <f aca="false">V71-U71</f>
        <v>-10754.14</v>
      </c>
      <c r="Z71" s="13" t="n">
        <v>259670.29</v>
      </c>
      <c r="AA71" s="13" t="n">
        <v>70911.65</v>
      </c>
      <c r="AB71" s="13" t="n">
        <v>195227.43</v>
      </c>
      <c r="AC71" s="14" t="n">
        <f aca="false">Z71-AA71</f>
        <v>188758.64</v>
      </c>
    </row>
    <row r="72" customFormat="false" ht="15" hidden="false" customHeight="false" outlineLevel="0" collapsed="false">
      <c r="A72" s="11" t="n">
        <v>45962</v>
      </c>
      <c r="B72" s="12" t="s">
        <v>58</v>
      </c>
      <c r="C72" s="12" t="s">
        <v>57</v>
      </c>
      <c r="D72" s="12" t="n">
        <v>2025</v>
      </c>
      <c r="E72" s="12" t="s">
        <v>42</v>
      </c>
      <c r="F72" s="12" t="s">
        <v>63</v>
      </c>
      <c r="G72" s="12" t="s">
        <v>44</v>
      </c>
      <c r="H72" s="12" t="s">
        <v>64</v>
      </c>
      <c r="I72" s="13" t="n">
        <v>170152.03</v>
      </c>
      <c r="J72" s="13" t="n">
        <v>46401.51</v>
      </c>
      <c r="K72" s="14" t="n">
        <f aca="false">I72-J72</f>
        <v>123750.52</v>
      </c>
      <c r="L72" s="13" t="n">
        <v>52796.41</v>
      </c>
      <c r="M72" s="14" t="n">
        <f aca="false">K72-L72</f>
        <v>70954.11</v>
      </c>
      <c r="N72" s="13" t="n">
        <v>5955.32</v>
      </c>
      <c r="O72" s="13" t="n">
        <v>5066.68</v>
      </c>
      <c r="P72" s="13" t="n">
        <v>14383.71</v>
      </c>
      <c r="Q72" s="14" t="n">
        <f aca="false">M72-N72-O72-P72</f>
        <v>45548.4</v>
      </c>
      <c r="R72" s="15" t="n">
        <f aca="false">IFERROR(K72/I72,0)</f>
        <v>0.727293820708457</v>
      </c>
      <c r="S72" s="15" t="n">
        <f aca="false">IFERROR(M72/I72,0)</f>
        <v>0.417004193250001</v>
      </c>
      <c r="T72" s="15" t="n">
        <f aca="false">IFERROR(Q72/I72,0)</f>
        <v>0.267692368994951</v>
      </c>
      <c r="U72" s="13" t="n">
        <v>180639.93</v>
      </c>
      <c r="V72" s="14" t="n">
        <f aca="false">I72</f>
        <v>170152.03</v>
      </c>
      <c r="W72" s="13" t="n">
        <v>95739.17</v>
      </c>
      <c r="X72" s="14" t="n">
        <f aca="false">J72+L72</f>
        <v>99197.92</v>
      </c>
      <c r="Y72" s="14" t="n">
        <f aca="false">V72-U72</f>
        <v>-10487.9</v>
      </c>
      <c r="Z72" s="13" t="n">
        <v>270185.83</v>
      </c>
      <c r="AA72" s="13" t="n">
        <v>65438.24</v>
      </c>
      <c r="AB72" s="13" t="n">
        <v>194901.7</v>
      </c>
      <c r="AC72" s="14" t="n">
        <f aca="false">Z72-AA72</f>
        <v>204747.59</v>
      </c>
    </row>
    <row r="73" customFormat="false" ht="15" hidden="false" customHeight="false" outlineLevel="0" collapsed="false">
      <c r="A73" s="11" t="n">
        <v>45992</v>
      </c>
      <c r="B73" s="12" t="s">
        <v>59</v>
      </c>
      <c r="C73" s="12" t="s">
        <v>57</v>
      </c>
      <c r="D73" s="12" t="n">
        <v>2025</v>
      </c>
      <c r="E73" s="12" t="s">
        <v>42</v>
      </c>
      <c r="F73" s="12" t="s">
        <v>63</v>
      </c>
      <c r="G73" s="12" t="s">
        <v>44</v>
      </c>
      <c r="H73" s="12" t="s">
        <v>64</v>
      </c>
      <c r="I73" s="13" t="n">
        <v>172269.67</v>
      </c>
      <c r="J73" s="13" t="n">
        <v>40436.1</v>
      </c>
      <c r="K73" s="14" t="n">
        <f aca="false">I73-J73</f>
        <v>131833.57</v>
      </c>
      <c r="L73" s="13" t="n">
        <v>43384.59</v>
      </c>
      <c r="M73" s="14" t="n">
        <f aca="false">K73-L73</f>
        <v>88448.98</v>
      </c>
      <c r="N73" s="13" t="n">
        <v>6029.44</v>
      </c>
      <c r="O73" s="13" t="n">
        <v>3629.79</v>
      </c>
      <c r="P73" s="13" t="n">
        <v>18909.54</v>
      </c>
      <c r="Q73" s="14" t="n">
        <f aca="false">M73-N73-O73-P73</f>
        <v>59880.21</v>
      </c>
      <c r="R73" s="15" t="n">
        <f aca="false">IFERROR(K73/I73,0)</f>
        <v>0.76527440959282</v>
      </c>
      <c r="S73" s="15" t="n">
        <f aca="false">IFERROR(M73/I73,0)</f>
        <v>0.513433270058508</v>
      </c>
      <c r="T73" s="15" t="n">
        <f aca="false">IFERROR(Q73/I73,0)</f>
        <v>0.347595778177319</v>
      </c>
      <c r="U73" s="13" t="n">
        <v>182626.97</v>
      </c>
      <c r="V73" s="14" t="n">
        <f aca="false">I73</f>
        <v>172269.67</v>
      </c>
      <c r="W73" s="13" t="n">
        <v>96792.3</v>
      </c>
      <c r="X73" s="14" t="n">
        <f aca="false">J73+L73</f>
        <v>83820.69</v>
      </c>
      <c r="Y73" s="14" t="n">
        <f aca="false">V73-U73</f>
        <v>-10357.3</v>
      </c>
      <c r="Z73" s="13" t="n">
        <v>269443.77</v>
      </c>
      <c r="AA73" s="13" t="n">
        <v>51726.1</v>
      </c>
      <c r="AB73" s="13" t="n">
        <v>202708.91</v>
      </c>
      <c r="AC73" s="14" t="n">
        <f aca="false">Z73-AA73</f>
        <v>217717.67</v>
      </c>
    </row>
    <row r="74" customFormat="false" ht="15" hidden="false" customHeight="false" outlineLevel="0" collapsed="false">
      <c r="A74" s="11" t="n">
        <v>45292</v>
      </c>
      <c r="B74" s="12" t="s">
        <v>40</v>
      </c>
      <c r="C74" s="12" t="s">
        <v>41</v>
      </c>
      <c r="D74" s="12" t="n">
        <v>2024</v>
      </c>
      <c r="E74" s="12" t="s">
        <v>65</v>
      </c>
      <c r="F74" s="12" t="s">
        <v>63</v>
      </c>
      <c r="G74" s="12" t="s">
        <v>66</v>
      </c>
      <c r="H74" s="12" t="s">
        <v>67</v>
      </c>
      <c r="I74" s="13" t="n">
        <v>45429.94</v>
      </c>
      <c r="J74" s="13" t="n">
        <v>25386.92</v>
      </c>
      <c r="K74" s="14" t="n">
        <f aca="false">I74-J74</f>
        <v>20043.02</v>
      </c>
      <c r="L74" s="13" t="n">
        <v>15284.48</v>
      </c>
      <c r="M74" s="14" t="n">
        <f aca="false">K74-L74</f>
        <v>4758.54</v>
      </c>
      <c r="N74" s="13" t="n">
        <v>1272.04</v>
      </c>
      <c r="O74" s="13" t="n">
        <v>4797.55</v>
      </c>
      <c r="P74" s="13" t="n">
        <v>0</v>
      </c>
      <c r="Q74" s="14" t="n">
        <f aca="false">M74-N74-O74-P74</f>
        <v>-1311.05</v>
      </c>
      <c r="R74" s="15" t="n">
        <f aca="false">IFERROR(K74/I74,0)</f>
        <v>0.441185262406246</v>
      </c>
      <c r="S74" s="15" t="n">
        <f aca="false">IFERROR(M74/I74,0)</f>
        <v>0.104744580336228</v>
      </c>
      <c r="T74" s="15" t="n">
        <f aca="false">IFERROR(Q74/I74,0)</f>
        <v>-0.0288587218032865</v>
      </c>
      <c r="U74" s="13" t="n">
        <v>46000</v>
      </c>
      <c r="V74" s="14" t="n">
        <f aca="false">I74</f>
        <v>45429.94</v>
      </c>
      <c r="W74" s="13" t="n">
        <v>39100</v>
      </c>
      <c r="X74" s="14" t="n">
        <f aca="false">J74+L74</f>
        <v>40671.4</v>
      </c>
      <c r="Y74" s="14" t="n">
        <f aca="false">V74-U74</f>
        <v>-570.059999999998</v>
      </c>
      <c r="Z74" s="13" t="n">
        <v>81154.91</v>
      </c>
      <c r="AA74" s="13" t="n">
        <v>17261.28</v>
      </c>
      <c r="AB74" s="13" t="n">
        <v>235854.9</v>
      </c>
      <c r="AC74" s="14" t="n">
        <f aca="false">Z74-AA74</f>
        <v>63893.63</v>
      </c>
    </row>
    <row r="75" customFormat="false" ht="15" hidden="false" customHeight="false" outlineLevel="0" collapsed="false">
      <c r="A75" s="11" t="n">
        <v>45323</v>
      </c>
      <c r="B75" s="12" t="s">
        <v>46</v>
      </c>
      <c r="C75" s="12" t="s">
        <v>41</v>
      </c>
      <c r="D75" s="12" t="n">
        <v>2024</v>
      </c>
      <c r="E75" s="12" t="s">
        <v>65</v>
      </c>
      <c r="F75" s="12" t="s">
        <v>63</v>
      </c>
      <c r="G75" s="12" t="s">
        <v>66</v>
      </c>
      <c r="H75" s="12" t="s">
        <v>67</v>
      </c>
      <c r="I75" s="13" t="n">
        <v>44732.82</v>
      </c>
      <c r="J75" s="13" t="n">
        <v>24978.37</v>
      </c>
      <c r="K75" s="14" t="n">
        <f aca="false">I75-J75</f>
        <v>19754.45</v>
      </c>
      <c r="L75" s="13" t="n">
        <v>15677.61</v>
      </c>
      <c r="M75" s="14" t="n">
        <f aca="false">K75-L75</f>
        <v>4076.84</v>
      </c>
      <c r="N75" s="13" t="n">
        <v>1252.52</v>
      </c>
      <c r="O75" s="13" t="n">
        <v>4512.63</v>
      </c>
      <c r="P75" s="13" t="n">
        <v>0</v>
      </c>
      <c r="Q75" s="14" t="n">
        <f aca="false">M75-N75-O75-P75</f>
        <v>-1688.31</v>
      </c>
      <c r="R75" s="15" t="n">
        <f aca="false">IFERROR(K75/I75,0)</f>
        <v>0.44160976213885</v>
      </c>
      <c r="S75" s="15" t="n">
        <f aca="false">IFERROR(M75/I75,0)</f>
        <v>0.0911375585084956</v>
      </c>
      <c r="T75" s="15" t="n">
        <f aca="false">IFERROR(Q75/I75,0)</f>
        <v>-0.0377420873533124</v>
      </c>
      <c r="U75" s="13" t="n">
        <v>46322</v>
      </c>
      <c r="V75" s="14" t="n">
        <f aca="false">I75</f>
        <v>44732.82</v>
      </c>
      <c r="W75" s="13" t="n">
        <v>39373.7</v>
      </c>
      <c r="X75" s="14" t="n">
        <f aca="false">J75+L75</f>
        <v>40655.98</v>
      </c>
      <c r="Y75" s="14" t="n">
        <f aca="false">V75-U75</f>
        <v>-1589.18</v>
      </c>
      <c r="Z75" s="13" t="n">
        <v>80700.79</v>
      </c>
      <c r="AA75" s="13" t="n">
        <v>18443.71</v>
      </c>
      <c r="AB75" s="13" t="n">
        <v>239761.41</v>
      </c>
      <c r="AC75" s="14" t="n">
        <f aca="false">Z75-AA75</f>
        <v>62257.08</v>
      </c>
    </row>
    <row r="76" customFormat="false" ht="15" hidden="false" customHeight="false" outlineLevel="0" collapsed="false">
      <c r="A76" s="11" t="n">
        <v>45352</v>
      </c>
      <c r="B76" s="12" t="s">
        <v>47</v>
      </c>
      <c r="C76" s="12" t="s">
        <v>41</v>
      </c>
      <c r="D76" s="12" t="n">
        <v>2024</v>
      </c>
      <c r="E76" s="12" t="s">
        <v>65</v>
      </c>
      <c r="F76" s="12" t="s">
        <v>63</v>
      </c>
      <c r="G76" s="12" t="s">
        <v>66</v>
      </c>
      <c r="H76" s="12" t="s">
        <v>67</v>
      </c>
      <c r="I76" s="13" t="n">
        <v>46023.33</v>
      </c>
      <c r="J76" s="13" t="n">
        <v>23226.48</v>
      </c>
      <c r="K76" s="14" t="n">
        <f aca="false">I76-J76</f>
        <v>22796.85</v>
      </c>
      <c r="L76" s="13" t="n">
        <v>17698.74</v>
      </c>
      <c r="M76" s="14" t="n">
        <f aca="false">K76-L76</f>
        <v>5098.11</v>
      </c>
      <c r="N76" s="13" t="n">
        <v>1288.65</v>
      </c>
      <c r="O76" s="13" t="n">
        <v>2091.08</v>
      </c>
      <c r="P76" s="13" t="n">
        <v>412.41</v>
      </c>
      <c r="Q76" s="14" t="n">
        <f aca="false">M76-N76-O76-P76</f>
        <v>1305.97</v>
      </c>
      <c r="R76" s="15" t="n">
        <f aca="false">IFERROR(K76/I76,0)</f>
        <v>0.495332475942093</v>
      </c>
      <c r="S76" s="15" t="n">
        <f aca="false">IFERROR(M76/I76,0)</f>
        <v>0.110772297441319</v>
      </c>
      <c r="T76" s="15" t="n">
        <f aca="false">IFERROR(Q76/I76,0)</f>
        <v>0.0283762604748505</v>
      </c>
      <c r="U76" s="13" t="n">
        <v>46646.25</v>
      </c>
      <c r="V76" s="14" t="n">
        <f aca="false">I76</f>
        <v>46023.33</v>
      </c>
      <c r="W76" s="13" t="n">
        <v>39649.32</v>
      </c>
      <c r="X76" s="14" t="n">
        <f aca="false">J76+L76</f>
        <v>40925.22</v>
      </c>
      <c r="Y76" s="14" t="n">
        <f aca="false">V76-U76</f>
        <v>-622.919999999998</v>
      </c>
      <c r="Z76" s="13" t="n">
        <v>86233.01</v>
      </c>
      <c r="AA76" s="13" t="n">
        <v>20035.66</v>
      </c>
      <c r="AB76" s="13" t="n">
        <v>241097.09</v>
      </c>
      <c r="AC76" s="14" t="n">
        <f aca="false">Z76-AA76</f>
        <v>66197.35</v>
      </c>
    </row>
    <row r="77" customFormat="false" ht="15" hidden="false" customHeight="false" outlineLevel="0" collapsed="false">
      <c r="A77" s="11" t="n">
        <v>45383</v>
      </c>
      <c r="B77" s="12" t="s">
        <v>48</v>
      </c>
      <c r="C77" s="12" t="s">
        <v>49</v>
      </c>
      <c r="D77" s="12" t="n">
        <v>2024</v>
      </c>
      <c r="E77" s="12" t="s">
        <v>65</v>
      </c>
      <c r="F77" s="12" t="s">
        <v>63</v>
      </c>
      <c r="G77" s="12" t="s">
        <v>66</v>
      </c>
      <c r="H77" s="12" t="s">
        <v>67</v>
      </c>
      <c r="I77" s="13" t="n">
        <v>43020.67</v>
      </c>
      <c r="J77" s="13" t="n">
        <v>21762.53</v>
      </c>
      <c r="K77" s="14" t="n">
        <f aca="false">I77-J77</f>
        <v>21258.14</v>
      </c>
      <c r="L77" s="13" t="n">
        <v>14660.63</v>
      </c>
      <c r="M77" s="14" t="n">
        <f aca="false">K77-L77</f>
        <v>6597.51</v>
      </c>
      <c r="N77" s="13" t="n">
        <v>1204.58</v>
      </c>
      <c r="O77" s="13" t="n">
        <v>2553.43</v>
      </c>
      <c r="P77" s="13" t="n">
        <v>681.48</v>
      </c>
      <c r="Q77" s="14" t="n">
        <f aca="false">M77-N77-O77-P77</f>
        <v>2158.02</v>
      </c>
      <c r="R77" s="15" t="n">
        <f aca="false">IFERROR(K77/I77,0)</f>
        <v>0.494137817937285</v>
      </c>
      <c r="S77" s="15" t="n">
        <f aca="false">IFERROR(M77/I77,0)</f>
        <v>0.153356746884695</v>
      </c>
      <c r="T77" s="15" t="n">
        <f aca="false">IFERROR(Q77/I77,0)</f>
        <v>0.0501623986795185</v>
      </c>
      <c r="U77" s="13" t="n">
        <v>46972.78</v>
      </c>
      <c r="V77" s="14" t="n">
        <f aca="false">I77</f>
        <v>43020.67</v>
      </c>
      <c r="W77" s="13" t="n">
        <v>39926.86</v>
      </c>
      <c r="X77" s="14" t="n">
        <f aca="false">J77+L77</f>
        <v>36423.16</v>
      </c>
      <c r="Y77" s="14" t="n">
        <f aca="false">V77-U77</f>
        <v>-3952.11</v>
      </c>
      <c r="Z77" s="13" t="n">
        <v>80383.88</v>
      </c>
      <c r="AA77" s="13" t="n">
        <v>16293.38</v>
      </c>
      <c r="AB77" s="13" t="n">
        <v>240007.37</v>
      </c>
      <c r="AC77" s="14" t="n">
        <f aca="false">Z77-AA77</f>
        <v>64090.5</v>
      </c>
    </row>
    <row r="78" customFormat="false" ht="15" hidden="false" customHeight="false" outlineLevel="0" collapsed="false">
      <c r="A78" s="11" t="n">
        <v>45413</v>
      </c>
      <c r="B78" s="12" t="s">
        <v>50</v>
      </c>
      <c r="C78" s="12" t="s">
        <v>49</v>
      </c>
      <c r="D78" s="12" t="n">
        <v>2024</v>
      </c>
      <c r="E78" s="12" t="s">
        <v>65</v>
      </c>
      <c r="F78" s="12" t="s">
        <v>63</v>
      </c>
      <c r="G78" s="12" t="s">
        <v>66</v>
      </c>
      <c r="H78" s="12" t="s">
        <v>67</v>
      </c>
      <c r="I78" s="13" t="n">
        <v>44734.18</v>
      </c>
      <c r="J78" s="13" t="n">
        <v>22765.08</v>
      </c>
      <c r="K78" s="14" t="n">
        <f aca="false">I78-J78</f>
        <v>21969.1</v>
      </c>
      <c r="L78" s="13" t="n">
        <v>14587.61</v>
      </c>
      <c r="M78" s="14" t="n">
        <f aca="false">K78-L78</f>
        <v>7381.49</v>
      </c>
      <c r="N78" s="13" t="n">
        <v>1252.56</v>
      </c>
      <c r="O78" s="13" t="n">
        <v>4336.18</v>
      </c>
      <c r="P78" s="13" t="n">
        <v>430.26</v>
      </c>
      <c r="Q78" s="14" t="n">
        <f aca="false">M78-N78-O78-P78</f>
        <v>1362.49</v>
      </c>
      <c r="R78" s="15" t="n">
        <f aca="false">IFERROR(K78/I78,0)</f>
        <v>0.491103223530643</v>
      </c>
      <c r="S78" s="15" t="n">
        <f aca="false">IFERROR(M78/I78,0)</f>
        <v>0.165007830701267</v>
      </c>
      <c r="T78" s="15" t="n">
        <f aca="false">IFERROR(Q78/I78,0)</f>
        <v>0.0304574712222287</v>
      </c>
      <c r="U78" s="13" t="n">
        <v>47301.59</v>
      </c>
      <c r="V78" s="14" t="n">
        <f aca="false">I78</f>
        <v>44734.18</v>
      </c>
      <c r="W78" s="13" t="n">
        <v>40206.35</v>
      </c>
      <c r="X78" s="14" t="n">
        <f aca="false">J78+L78</f>
        <v>37352.69</v>
      </c>
      <c r="Y78" s="14" t="n">
        <f aca="false">V78-U78</f>
        <v>-2567.41</v>
      </c>
      <c r="Z78" s="13" t="n">
        <v>80624.94</v>
      </c>
      <c r="AA78" s="13" t="n">
        <v>16868</v>
      </c>
      <c r="AB78" s="13" t="n">
        <v>240488.71</v>
      </c>
      <c r="AC78" s="14" t="n">
        <f aca="false">Z78-AA78</f>
        <v>63756.94</v>
      </c>
    </row>
    <row r="79" customFormat="false" ht="15" hidden="false" customHeight="false" outlineLevel="0" collapsed="false">
      <c r="A79" s="11" t="n">
        <v>45444</v>
      </c>
      <c r="B79" s="12" t="s">
        <v>51</v>
      </c>
      <c r="C79" s="12" t="s">
        <v>49</v>
      </c>
      <c r="D79" s="12" t="n">
        <v>2024</v>
      </c>
      <c r="E79" s="12" t="s">
        <v>65</v>
      </c>
      <c r="F79" s="12" t="s">
        <v>63</v>
      </c>
      <c r="G79" s="12" t="s">
        <v>66</v>
      </c>
      <c r="H79" s="12" t="s">
        <v>67</v>
      </c>
      <c r="I79" s="13" t="n">
        <v>49609.16</v>
      </c>
      <c r="J79" s="13" t="n">
        <v>26268.01</v>
      </c>
      <c r="K79" s="14" t="n">
        <f aca="false">I79-J79</f>
        <v>23341.15</v>
      </c>
      <c r="L79" s="13" t="n">
        <v>16366.55</v>
      </c>
      <c r="M79" s="14" t="n">
        <f aca="false">K79-L79</f>
        <v>6974.60000000001</v>
      </c>
      <c r="N79" s="13" t="n">
        <v>1389.06</v>
      </c>
      <c r="O79" s="13" t="n">
        <v>4391.44</v>
      </c>
      <c r="P79" s="13" t="n">
        <v>286.58</v>
      </c>
      <c r="Q79" s="14" t="n">
        <f aca="false">M79-N79-O79-P79</f>
        <v>907.520000000007</v>
      </c>
      <c r="R79" s="15" t="n">
        <f aca="false">IFERROR(K79/I79,0)</f>
        <v>0.470500810737372</v>
      </c>
      <c r="S79" s="15" t="n">
        <f aca="false">IFERROR(M79/I79,0)</f>
        <v>0.140590971506069</v>
      </c>
      <c r="T79" s="15" t="n">
        <f aca="false">IFERROR(Q79/I79,0)</f>
        <v>0.0182933958164179</v>
      </c>
      <c r="U79" s="13" t="n">
        <v>47632.7</v>
      </c>
      <c r="V79" s="14" t="n">
        <f aca="false">I79</f>
        <v>49609.16</v>
      </c>
      <c r="W79" s="13" t="n">
        <v>40487.79</v>
      </c>
      <c r="X79" s="14" t="n">
        <f aca="false">J79+L79</f>
        <v>42634.56</v>
      </c>
      <c r="Y79" s="14" t="n">
        <f aca="false">V79-U79</f>
        <v>1976.46000000001</v>
      </c>
      <c r="Z79" s="13" t="n">
        <v>88086.56</v>
      </c>
      <c r="AA79" s="13" t="n">
        <v>18022.69</v>
      </c>
      <c r="AB79" s="13" t="n">
        <v>245517.97</v>
      </c>
      <c r="AC79" s="14" t="n">
        <f aca="false">Z79-AA79</f>
        <v>70063.87</v>
      </c>
    </row>
    <row r="80" customFormat="false" ht="15" hidden="false" customHeight="false" outlineLevel="0" collapsed="false">
      <c r="A80" s="11" t="n">
        <v>45474</v>
      </c>
      <c r="B80" s="12" t="s">
        <v>52</v>
      </c>
      <c r="C80" s="12" t="s">
        <v>53</v>
      </c>
      <c r="D80" s="12" t="n">
        <v>2024</v>
      </c>
      <c r="E80" s="12" t="s">
        <v>65</v>
      </c>
      <c r="F80" s="12" t="s">
        <v>63</v>
      </c>
      <c r="G80" s="12" t="s">
        <v>66</v>
      </c>
      <c r="H80" s="12" t="s">
        <v>67</v>
      </c>
      <c r="I80" s="13" t="n">
        <v>43750.38</v>
      </c>
      <c r="J80" s="13" t="n">
        <v>22889.48</v>
      </c>
      <c r="K80" s="14" t="n">
        <f aca="false">I80-J80</f>
        <v>20860.9</v>
      </c>
      <c r="L80" s="13" t="n">
        <v>16940.66</v>
      </c>
      <c r="M80" s="14" t="n">
        <f aca="false">K80-L80</f>
        <v>3920.24</v>
      </c>
      <c r="N80" s="13" t="n">
        <v>1225.01</v>
      </c>
      <c r="O80" s="13" t="n">
        <v>2762.2</v>
      </c>
      <c r="P80" s="13" t="n">
        <v>0</v>
      </c>
      <c r="Q80" s="14" t="n">
        <f aca="false">M80-N80-O80-P80</f>
        <v>-66.9700000000021</v>
      </c>
      <c r="R80" s="15" t="n">
        <f aca="false">IFERROR(K80/I80,0)</f>
        <v>0.476816429937294</v>
      </c>
      <c r="S80" s="15" t="n">
        <f aca="false">IFERROR(M80/I80,0)</f>
        <v>0.0896047074333983</v>
      </c>
      <c r="T80" s="15" t="n">
        <f aca="false">IFERROR(Q80/I80,0)</f>
        <v>-0.00153072956166328</v>
      </c>
      <c r="U80" s="13" t="n">
        <v>47966.13</v>
      </c>
      <c r="V80" s="14" t="n">
        <f aca="false">I80</f>
        <v>43750.38</v>
      </c>
      <c r="W80" s="13" t="n">
        <v>40771.21</v>
      </c>
      <c r="X80" s="14" t="n">
        <f aca="false">J80+L80</f>
        <v>39830.14</v>
      </c>
      <c r="Y80" s="14" t="n">
        <f aca="false">V80-U80</f>
        <v>-4215.75</v>
      </c>
      <c r="Z80" s="13" t="n">
        <v>77004.89</v>
      </c>
      <c r="AA80" s="13" t="n">
        <v>18612.14</v>
      </c>
      <c r="AB80" s="13" t="n">
        <v>246935.5</v>
      </c>
      <c r="AC80" s="14" t="n">
        <f aca="false">Z80-AA80</f>
        <v>58392.75</v>
      </c>
    </row>
    <row r="81" customFormat="false" ht="15" hidden="false" customHeight="false" outlineLevel="0" collapsed="false">
      <c r="A81" s="11" t="n">
        <v>45505</v>
      </c>
      <c r="B81" s="12" t="s">
        <v>54</v>
      </c>
      <c r="C81" s="12" t="s">
        <v>53</v>
      </c>
      <c r="D81" s="12" t="n">
        <v>2024</v>
      </c>
      <c r="E81" s="12" t="s">
        <v>65</v>
      </c>
      <c r="F81" s="12" t="s">
        <v>63</v>
      </c>
      <c r="G81" s="12" t="s">
        <v>66</v>
      </c>
      <c r="H81" s="12" t="s">
        <v>67</v>
      </c>
      <c r="I81" s="13" t="n">
        <v>49955.99</v>
      </c>
      <c r="J81" s="13" t="n">
        <v>27207.16</v>
      </c>
      <c r="K81" s="14" t="n">
        <f aca="false">I81-J81</f>
        <v>22748.83</v>
      </c>
      <c r="L81" s="13" t="n">
        <v>15946.53</v>
      </c>
      <c r="M81" s="14" t="n">
        <f aca="false">K81-L81</f>
        <v>6802.3</v>
      </c>
      <c r="N81" s="13" t="n">
        <v>1398.77</v>
      </c>
      <c r="O81" s="13" t="n">
        <v>3681.42</v>
      </c>
      <c r="P81" s="13" t="n">
        <v>413.31</v>
      </c>
      <c r="Q81" s="14" t="n">
        <f aca="false">M81-N81-O81-P81</f>
        <v>1308.8</v>
      </c>
      <c r="R81" s="15" t="n">
        <f aca="false">IFERROR(K81/I81,0)</f>
        <v>0.455377423207908</v>
      </c>
      <c r="S81" s="15" t="n">
        <f aca="false">IFERROR(M81/I81,0)</f>
        <v>0.136165853183972</v>
      </c>
      <c r="T81" s="15" t="n">
        <f aca="false">IFERROR(Q81/I81,0)</f>
        <v>0.0261990604129754</v>
      </c>
      <c r="U81" s="13" t="n">
        <v>48301.89</v>
      </c>
      <c r="V81" s="14" t="n">
        <f aca="false">I81</f>
        <v>49955.99</v>
      </c>
      <c r="W81" s="13" t="n">
        <v>41056.61</v>
      </c>
      <c r="X81" s="14" t="n">
        <f aca="false">J81+L81</f>
        <v>43153.69</v>
      </c>
      <c r="Y81" s="14" t="n">
        <f aca="false">V81-U81</f>
        <v>1654.1</v>
      </c>
      <c r="Z81" s="13" t="n">
        <v>93394.05</v>
      </c>
      <c r="AA81" s="13" t="n">
        <v>17397.32</v>
      </c>
      <c r="AB81" s="13" t="n">
        <v>261131.51</v>
      </c>
      <c r="AC81" s="14" t="n">
        <f aca="false">Z81-AA81</f>
        <v>75996.73</v>
      </c>
    </row>
    <row r="82" customFormat="false" ht="15" hidden="false" customHeight="false" outlineLevel="0" collapsed="false">
      <c r="A82" s="11" t="n">
        <v>45536</v>
      </c>
      <c r="B82" s="12" t="s">
        <v>55</v>
      </c>
      <c r="C82" s="12" t="s">
        <v>53</v>
      </c>
      <c r="D82" s="12" t="n">
        <v>2024</v>
      </c>
      <c r="E82" s="12" t="s">
        <v>65</v>
      </c>
      <c r="F82" s="12" t="s">
        <v>63</v>
      </c>
      <c r="G82" s="12" t="s">
        <v>66</v>
      </c>
      <c r="H82" s="12" t="s">
        <v>67</v>
      </c>
      <c r="I82" s="13" t="n">
        <v>50745.88</v>
      </c>
      <c r="J82" s="13" t="n">
        <v>25520.43</v>
      </c>
      <c r="K82" s="14" t="n">
        <f aca="false">I82-J82</f>
        <v>25225.45</v>
      </c>
      <c r="L82" s="13" t="n">
        <v>16698.9</v>
      </c>
      <c r="M82" s="14" t="n">
        <f aca="false">K82-L82</f>
        <v>8526.55</v>
      </c>
      <c r="N82" s="13" t="n">
        <v>1420.88</v>
      </c>
      <c r="O82" s="13" t="n">
        <v>3395.95</v>
      </c>
      <c r="P82" s="13" t="n">
        <v>890.33</v>
      </c>
      <c r="Q82" s="14" t="n">
        <f aca="false">M82-N82-O82-P82</f>
        <v>2819.39</v>
      </c>
      <c r="R82" s="15" t="n">
        <f aca="false">IFERROR(K82/I82,0)</f>
        <v>0.497093557151832</v>
      </c>
      <c r="S82" s="15" t="n">
        <f aca="false">IFERROR(M82/I82,0)</f>
        <v>0.168024478046297</v>
      </c>
      <c r="T82" s="15" t="n">
        <f aca="false">IFERROR(Q82/I82,0)</f>
        <v>0.0555589931635829</v>
      </c>
      <c r="U82" s="13" t="n">
        <v>48640</v>
      </c>
      <c r="V82" s="14" t="n">
        <f aca="false">I82</f>
        <v>50745.88</v>
      </c>
      <c r="W82" s="13" t="n">
        <v>41344</v>
      </c>
      <c r="X82" s="14" t="n">
        <f aca="false">J82+L82</f>
        <v>42219.33</v>
      </c>
      <c r="Y82" s="14" t="n">
        <f aca="false">V82-U82</f>
        <v>2105.88</v>
      </c>
      <c r="Z82" s="13" t="n">
        <v>92480.27</v>
      </c>
      <c r="AA82" s="13" t="n">
        <v>18328.06</v>
      </c>
      <c r="AB82" s="13" t="n">
        <v>273961.98</v>
      </c>
      <c r="AC82" s="14" t="n">
        <f aca="false">Z82-AA82</f>
        <v>74152.21</v>
      </c>
    </row>
    <row r="83" customFormat="false" ht="15" hidden="false" customHeight="false" outlineLevel="0" collapsed="false">
      <c r="A83" s="11" t="n">
        <v>45566</v>
      </c>
      <c r="B83" s="12" t="s">
        <v>56</v>
      </c>
      <c r="C83" s="12" t="s">
        <v>57</v>
      </c>
      <c r="D83" s="12" t="n">
        <v>2024</v>
      </c>
      <c r="E83" s="12" t="s">
        <v>65</v>
      </c>
      <c r="F83" s="12" t="s">
        <v>63</v>
      </c>
      <c r="G83" s="12" t="s">
        <v>66</v>
      </c>
      <c r="H83" s="12" t="s">
        <v>67</v>
      </c>
      <c r="I83" s="13" t="n">
        <v>51014.11</v>
      </c>
      <c r="J83" s="13" t="n">
        <v>24649.89</v>
      </c>
      <c r="K83" s="14" t="n">
        <f aca="false">I83-J83</f>
        <v>26364.22</v>
      </c>
      <c r="L83" s="13" t="n">
        <v>16339.04</v>
      </c>
      <c r="M83" s="14" t="n">
        <f aca="false">K83-L83</f>
        <v>10025.18</v>
      </c>
      <c r="N83" s="13" t="n">
        <v>1428.4</v>
      </c>
      <c r="O83" s="13" t="n">
        <v>3940.12</v>
      </c>
      <c r="P83" s="13" t="n">
        <v>1117.6</v>
      </c>
      <c r="Q83" s="14" t="n">
        <f aca="false">M83-N83-O83-P83</f>
        <v>3539.06</v>
      </c>
      <c r="R83" s="15" t="n">
        <f aca="false">IFERROR(K83/I83,0)</f>
        <v>0.516802508168819</v>
      </c>
      <c r="S83" s="15" t="n">
        <f aca="false">IFERROR(M83/I83,0)</f>
        <v>0.196517786941691</v>
      </c>
      <c r="T83" s="15" t="n">
        <f aca="false">IFERROR(Q83/I83,0)</f>
        <v>0.0693741398213161</v>
      </c>
      <c r="U83" s="13" t="n">
        <v>48980.48</v>
      </c>
      <c r="V83" s="14" t="n">
        <f aca="false">I83</f>
        <v>51014.11</v>
      </c>
      <c r="W83" s="13" t="n">
        <v>41633.41</v>
      </c>
      <c r="X83" s="14" t="n">
        <f aca="false">J83+L83</f>
        <v>40988.93</v>
      </c>
      <c r="Y83" s="14" t="n">
        <f aca="false">V83-U83</f>
        <v>2033.63</v>
      </c>
      <c r="Z83" s="13" t="n">
        <v>89350.96</v>
      </c>
      <c r="AA83" s="13" t="n">
        <v>17867.98</v>
      </c>
      <c r="AB83" s="13" t="n">
        <v>276313.7</v>
      </c>
      <c r="AC83" s="14" t="n">
        <f aca="false">Z83-AA83</f>
        <v>71482.98</v>
      </c>
    </row>
    <row r="84" customFormat="false" ht="15" hidden="false" customHeight="false" outlineLevel="0" collapsed="false">
      <c r="A84" s="11" t="n">
        <v>45597</v>
      </c>
      <c r="B84" s="12" t="s">
        <v>58</v>
      </c>
      <c r="C84" s="12" t="s">
        <v>57</v>
      </c>
      <c r="D84" s="12" t="n">
        <v>2024</v>
      </c>
      <c r="E84" s="12" t="s">
        <v>65</v>
      </c>
      <c r="F84" s="12" t="s">
        <v>63</v>
      </c>
      <c r="G84" s="12" t="s">
        <v>66</v>
      </c>
      <c r="H84" s="12" t="s">
        <v>67</v>
      </c>
      <c r="I84" s="13" t="n">
        <v>47192.19</v>
      </c>
      <c r="J84" s="13" t="n">
        <v>24230.95</v>
      </c>
      <c r="K84" s="14" t="n">
        <f aca="false">I84-J84</f>
        <v>22961.24</v>
      </c>
      <c r="L84" s="13" t="n">
        <v>16766.87</v>
      </c>
      <c r="M84" s="14" t="n">
        <f aca="false">K84-L84</f>
        <v>6194.37</v>
      </c>
      <c r="N84" s="13" t="n">
        <v>1321.38</v>
      </c>
      <c r="O84" s="13" t="n">
        <v>4399.11</v>
      </c>
      <c r="P84" s="13" t="n">
        <v>113.73</v>
      </c>
      <c r="Q84" s="14" t="n">
        <f aca="false">M84-N84-O84-P84</f>
        <v>360.150000000003</v>
      </c>
      <c r="R84" s="15" t="n">
        <f aca="false">IFERROR(K84/I84,0)</f>
        <v>0.48654745626342</v>
      </c>
      <c r="S84" s="15" t="n">
        <f aca="false">IFERROR(M84/I84,0)</f>
        <v>0.131258371353396</v>
      </c>
      <c r="T84" s="15" t="n">
        <f aca="false">IFERROR(Q84/I84,0)</f>
        <v>0.00763155937454911</v>
      </c>
      <c r="U84" s="13" t="n">
        <v>49323.35</v>
      </c>
      <c r="V84" s="14" t="n">
        <f aca="false">I84</f>
        <v>47192.19</v>
      </c>
      <c r="W84" s="13" t="n">
        <v>41924.84</v>
      </c>
      <c r="X84" s="14" t="n">
        <f aca="false">J84+L84</f>
        <v>40997.82</v>
      </c>
      <c r="Y84" s="14" t="n">
        <f aca="false">V84-U84</f>
        <v>-2131.16</v>
      </c>
      <c r="Z84" s="13" t="n">
        <v>87438.86</v>
      </c>
      <c r="AA84" s="13" t="n">
        <v>19554.93</v>
      </c>
      <c r="AB84" s="13" t="n">
        <v>278441.53</v>
      </c>
      <c r="AC84" s="14" t="n">
        <f aca="false">Z84-AA84</f>
        <v>67883.93</v>
      </c>
    </row>
    <row r="85" customFormat="false" ht="15" hidden="false" customHeight="false" outlineLevel="0" collapsed="false">
      <c r="A85" s="11" t="n">
        <v>45627</v>
      </c>
      <c r="B85" s="12" t="s">
        <v>59</v>
      </c>
      <c r="C85" s="12" t="s">
        <v>57</v>
      </c>
      <c r="D85" s="12" t="n">
        <v>2024</v>
      </c>
      <c r="E85" s="12" t="s">
        <v>65</v>
      </c>
      <c r="F85" s="12" t="s">
        <v>63</v>
      </c>
      <c r="G85" s="12" t="s">
        <v>66</v>
      </c>
      <c r="H85" s="12" t="s">
        <v>67</v>
      </c>
      <c r="I85" s="13" t="n">
        <v>52951.8</v>
      </c>
      <c r="J85" s="13" t="n">
        <v>26444.63</v>
      </c>
      <c r="K85" s="14" t="n">
        <f aca="false">I85-J85</f>
        <v>26507.17</v>
      </c>
      <c r="L85" s="13" t="n">
        <v>17205.21</v>
      </c>
      <c r="M85" s="14" t="n">
        <f aca="false">K85-L85</f>
        <v>9301.96</v>
      </c>
      <c r="N85" s="13" t="n">
        <v>1482.65</v>
      </c>
      <c r="O85" s="13" t="n">
        <v>2838.29</v>
      </c>
      <c r="P85" s="13" t="n">
        <v>1195.44</v>
      </c>
      <c r="Q85" s="14" t="n">
        <f aca="false">M85-N85-O85-P85</f>
        <v>3785.58</v>
      </c>
      <c r="R85" s="15" t="n">
        <f aca="false">IFERROR(K85/I85,0)</f>
        <v>0.500590537054453</v>
      </c>
      <c r="S85" s="15" t="n">
        <f aca="false">IFERROR(M85/I85,0)</f>
        <v>0.175668438088979</v>
      </c>
      <c r="T85" s="15" t="n">
        <f aca="false">IFERROR(Q85/I85,0)</f>
        <v>0.0714910541284716</v>
      </c>
      <c r="U85" s="13" t="n">
        <v>49668.61</v>
      </c>
      <c r="V85" s="14" t="n">
        <f aca="false">I85</f>
        <v>52951.8</v>
      </c>
      <c r="W85" s="13" t="n">
        <v>42218.32</v>
      </c>
      <c r="X85" s="14" t="n">
        <f aca="false">J85+L85</f>
        <v>43649.84</v>
      </c>
      <c r="Y85" s="14" t="n">
        <f aca="false">V85-U85</f>
        <v>3283.19</v>
      </c>
      <c r="Z85" s="13" t="n">
        <v>98253.21</v>
      </c>
      <c r="AA85" s="13" t="n">
        <v>19713.01</v>
      </c>
      <c r="AB85" s="13" t="n">
        <v>266540.04</v>
      </c>
      <c r="AC85" s="14" t="n">
        <f aca="false">Z85-AA85</f>
        <v>78540.2</v>
      </c>
    </row>
    <row r="86" customFormat="false" ht="15" hidden="false" customHeight="false" outlineLevel="0" collapsed="false">
      <c r="A86" s="11" t="n">
        <v>45658</v>
      </c>
      <c r="B86" s="12" t="s">
        <v>40</v>
      </c>
      <c r="C86" s="12" t="s">
        <v>41</v>
      </c>
      <c r="D86" s="12" t="n">
        <v>2025</v>
      </c>
      <c r="E86" s="12" t="s">
        <v>65</v>
      </c>
      <c r="F86" s="12" t="s">
        <v>63</v>
      </c>
      <c r="G86" s="12" t="s">
        <v>66</v>
      </c>
      <c r="H86" s="12" t="s">
        <v>67</v>
      </c>
      <c r="I86" s="13" t="n">
        <v>49600.57</v>
      </c>
      <c r="J86" s="13" t="n">
        <v>23387.92</v>
      </c>
      <c r="K86" s="14" t="n">
        <f aca="false">I86-J86</f>
        <v>26212.65</v>
      </c>
      <c r="L86" s="13" t="n">
        <v>16852.21</v>
      </c>
      <c r="M86" s="14" t="n">
        <f aca="false">K86-L86</f>
        <v>9360.44</v>
      </c>
      <c r="N86" s="13" t="n">
        <v>1388.82</v>
      </c>
      <c r="O86" s="13" t="n">
        <v>4045.46</v>
      </c>
      <c r="P86" s="13" t="n">
        <v>942.28</v>
      </c>
      <c r="Q86" s="14" t="n">
        <f aca="false">M86-N86-O86-P86</f>
        <v>2983.88</v>
      </c>
      <c r="R86" s="15" t="n">
        <f aca="false">IFERROR(K86/I86,0)</f>
        <v>0.528474773576191</v>
      </c>
      <c r="S86" s="15" t="n">
        <f aca="false">IFERROR(M86/I86,0)</f>
        <v>0.188716379670637</v>
      </c>
      <c r="T86" s="15" t="n">
        <f aca="false">IFERROR(Q86/I86,0)</f>
        <v>0.0601581796338228</v>
      </c>
      <c r="U86" s="13" t="n">
        <v>50016.29</v>
      </c>
      <c r="V86" s="14" t="n">
        <f aca="false">I86</f>
        <v>49600.57</v>
      </c>
      <c r="W86" s="13" t="n">
        <v>42513.85</v>
      </c>
      <c r="X86" s="14" t="n">
        <f aca="false">J86+L86</f>
        <v>40240.13</v>
      </c>
      <c r="Y86" s="14" t="n">
        <f aca="false">V86-U86</f>
        <v>-415.720000000001</v>
      </c>
      <c r="Z86" s="13" t="n">
        <v>87815.85</v>
      </c>
      <c r="AA86" s="13" t="n">
        <v>18476.18</v>
      </c>
      <c r="AB86" s="13" t="n">
        <v>267953.82</v>
      </c>
      <c r="AC86" s="14" t="n">
        <f aca="false">Z86-AA86</f>
        <v>69339.67</v>
      </c>
    </row>
    <row r="87" customFormat="false" ht="15" hidden="false" customHeight="false" outlineLevel="0" collapsed="false">
      <c r="A87" s="11" t="n">
        <v>45689</v>
      </c>
      <c r="B87" s="12" t="s">
        <v>46</v>
      </c>
      <c r="C87" s="12" t="s">
        <v>41</v>
      </c>
      <c r="D87" s="12" t="n">
        <v>2025</v>
      </c>
      <c r="E87" s="12" t="s">
        <v>65</v>
      </c>
      <c r="F87" s="12" t="s">
        <v>63</v>
      </c>
      <c r="G87" s="12" t="s">
        <v>66</v>
      </c>
      <c r="H87" s="12" t="s">
        <v>67</v>
      </c>
      <c r="I87" s="13" t="n">
        <v>50458.54</v>
      </c>
      <c r="J87" s="13" t="n">
        <v>24948.77</v>
      </c>
      <c r="K87" s="14" t="n">
        <f aca="false">I87-J87</f>
        <v>25509.77</v>
      </c>
      <c r="L87" s="13" t="n">
        <v>16987.16</v>
      </c>
      <c r="M87" s="14" t="n">
        <f aca="false">K87-L87</f>
        <v>8522.61</v>
      </c>
      <c r="N87" s="13" t="n">
        <v>1412.84</v>
      </c>
      <c r="O87" s="13" t="n">
        <v>4203.65</v>
      </c>
      <c r="P87" s="13" t="n">
        <v>697.47</v>
      </c>
      <c r="Q87" s="14" t="n">
        <f aca="false">M87-N87-O87-P87</f>
        <v>2208.65</v>
      </c>
      <c r="R87" s="15" t="n">
        <f aca="false">IFERROR(K87/I87,0)</f>
        <v>0.505559019345387</v>
      </c>
      <c r="S87" s="15" t="n">
        <f aca="false">IFERROR(M87/I87,0)</f>
        <v>0.168903222328668</v>
      </c>
      <c r="T87" s="15" t="n">
        <f aca="false">IFERROR(Q87/I87,0)</f>
        <v>0.0437715795978243</v>
      </c>
      <c r="U87" s="13" t="n">
        <v>50366.4</v>
      </c>
      <c r="V87" s="14" t="n">
        <f aca="false">I87</f>
        <v>50458.54</v>
      </c>
      <c r="W87" s="13" t="n">
        <v>42811.44</v>
      </c>
      <c r="X87" s="14" t="n">
        <f aca="false">J87+L87</f>
        <v>41935.93</v>
      </c>
      <c r="Y87" s="14" t="n">
        <f aca="false">V87-U87</f>
        <v>92.1399999999994</v>
      </c>
      <c r="Z87" s="13" t="n">
        <v>94385.11</v>
      </c>
      <c r="AA87" s="13" t="n">
        <v>19163.62</v>
      </c>
      <c r="AB87" s="13" t="n">
        <v>272784.5</v>
      </c>
      <c r="AC87" s="14" t="n">
        <f aca="false">Z87-AA87</f>
        <v>75221.49</v>
      </c>
    </row>
    <row r="88" customFormat="false" ht="15" hidden="false" customHeight="false" outlineLevel="0" collapsed="false">
      <c r="A88" s="11" t="n">
        <v>45717</v>
      </c>
      <c r="B88" s="12" t="s">
        <v>47</v>
      </c>
      <c r="C88" s="12" t="s">
        <v>41</v>
      </c>
      <c r="D88" s="12" t="n">
        <v>2025</v>
      </c>
      <c r="E88" s="12" t="s">
        <v>65</v>
      </c>
      <c r="F88" s="12" t="s">
        <v>63</v>
      </c>
      <c r="G88" s="12" t="s">
        <v>66</v>
      </c>
      <c r="H88" s="12" t="s">
        <v>67</v>
      </c>
      <c r="I88" s="13" t="n">
        <v>48291.77</v>
      </c>
      <c r="J88" s="13" t="n">
        <v>23087.01</v>
      </c>
      <c r="K88" s="14" t="n">
        <f aca="false">I88-J88</f>
        <v>25204.76</v>
      </c>
      <c r="L88" s="13" t="n">
        <v>16723.19</v>
      </c>
      <c r="M88" s="14" t="n">
        <f aca="false">K88-L88</f>
        <v>8481.57</v>
      </c>
      <c r="N88" s="13" t="n">
        <v>1352.17</v>
      </c>
      <c r="O88" s="13" t="n">
        <v>4048.02</v>
      </c>
      <c r="P88" s="13" t="n">
        <v>739.53</v>
      </c>
      <c r="Q88" s="14" t="n">
        <f aca="false">M88-N88-O88-P88</f>
        <v>2341.85</v>
      </c>
      <c r="R88" s="15" t="n">
        <f aca="false">IFERROR(K88/I88,0)</f>
        <v>0.521926613996546</v>
      </c>
      <c r="S88" s="15" t="n">
        <f aca="false">IFERROR(M88/I88,0)</f>
        <v>0.175631789847421</v>
      </c>
      <c r="T88" s="15" t="n">
        <f aca="false">IFERROR(Q88/I88,0)</f>
        <v>0.0484937702635459</v>
      </c>
      <c r="U88" s="13" t="n">
        <v>50718.97</v>
      </c>
      <c r="V88" s="14" t="n">
        <f aca="false">I88</f>
        <v>48291.77</v>
      </c>
      <c r="W88" s="13" t="n">
        <v>43111.12</v>
      </c>
      <c r="X88" s="14" t="n">
        <f aca="false">J88+L88</f>
        <v>39810.2</v>
      </c>
      <c r="Y88" s="14" t="n">
        <f aca="false">V88-U88</f>
        <v>-2427.2</v>
      </c>
      <c r="Z88" s="13" t="n">
        <v>92374.39</v>
      </c>
      <c r="AA88" s="13" t="n">
        <v>18811.06</v>
      </c>
      <c r="AB88" s="13" t="n">
        <v>266302.53</v>
      </c>
      <c r="AC88" s="14" t="n">
        <f aca="false">Z88-AA88</f>
        <v>73563.33</v>
      </c>
    </row>
    <row r="89" customFormat="false" ht="15" hidden="false" customHeight="false" outlineLevel="0" collapsed="false">
      <c r="A89" s="11" t="n">
        <v>45748</v>
      </c>
      <c r="B89" s="12" t="s">
        <v>48</v>
      </c>
      <c r="C89" s="12" t="s">
        <v>49</v>
      </c>
      <c r="D89" s="12" t="n">
        <v>2025</v>
      </c>
      <c r="E89" s="12" t="s">
        <v>65</v>
      </c>
      <c r="F89" s="12" t="s">
        <v>63</v>
      </c>
      <c r="G89" s="12" t="s">
        <v>66</v>
      </c>
      <c r="H89" s="12" t="s">
        <v>67</v>
      </c>
      <c r="I89" s="13" t="n">
        <v>49952.77</v>
      </c>
      <c r="J89" s="13" t="n">
        <v>27544.51</v>
      </c>
      <c r="K89" s="14" t="n">
        <f aca="false">I89-J89</f>
        <v>22408.26</v>
      </c>
      <c r="L89" s="13" t="n">
        <v>15942.45</v>
      </c>
      <c r="M89" s="14" t="n">
        <f aca="false">K89-L89</f>
        <v>6465.81</v>
      </c>
      <c r="N89" s="13" t="n">
        <v>1398.68</v>
      </c>
      <c r="O89" s="13" t="n">
        <v>2845.88</v>
      </c>
      <c r="P89" s="13" t="n">
        <v>533.1</v>
      </c>
      <c r="Q89" s="14" t="n">
        <f aca="false">M89-N89-O89-P89</f>
        <v>1688.15</v>
      </c>
      <c r="R89" s="15" t="n">
        <f aca="false">IFERROR(K89/I89,0)</f>
        <v>0.448588937109994</v>
      </c>
      <c r="S89" s="15" t="n">
        <f aca="false">IFERROR(M89/I89,0)</f>
        <v>0.129438467576473</v>
      </c>
      <c r="T89" s="15" t="n">
        <f aca="false">IFERROR(Q89/I89,0)</f>
        <v>0.0337949226839672</v>
      </c>
      <c r="U89" s="13" t="n">
        <v>51074</v>
      </c>
      <c r="V89" s="14" t="n">
        <f aca="false">I89</f>
        <v>49952.77</v>
      </c>
      <c r="W89" s="13" t="n">
        <v>43412.9</v>
      </c>
      <c r="X89" s="14" t="n">
        <f aca="false">J89+L89</f>
        <v>43486.96</v>
      </c>
      <c r="Y89" s="14" t="n">
        <f aca="false">V89-U89</f>
        <v>-1121.23</v>
      </c>
      <c r="Z89" s="13" t="n">
        <v>93860.04</v>
      </c>
      <c r="AA89" s="13" t="n">
        <v>18193.15</v>
      </c>
      <c r="AB89" s="13" t="n">
        <v>268759.43</v>
      </c>
      <c r="AC89" s="14" t="n">
        <f aca="false">Z89-AA89</f>
        <v>75666.89</v>
      </c>
    </row>
    <row r="90" customFormat="false" ht="15" hidden="false" customHeight="false" outlineLevel="0" collapsed="false">
      <c r="A90" s="11" t="n">
        <v>45778</v>
      </c>
      <c r="B90" s="12" t="s">
        <v>50</v>
      </c>
      <c r="C90" s="12" t="s">
        <v>49</v>
      </c>
      <c r="D90" s="12" t="n">
        <v>2025</v>
      </c>
      <c r="E90" s="12" t="s">
        <v>65</v>
      </c>
      <c r="F90" s="12" t="s">
        <v>63</v>
      </c>
      <c r="G90" s="12" t="s">
        <v>66</v>
      </c>
      <c r="H90" s="12" t="s">
        <v>67</v>
      </c>
      <c r="I90" s="13" t="n">
        <v>51081.32</v>
      </c>
      <c r="J90" s="13" t="n">
        <v>27073.36</v>
      </c>
      <c r="K90" s="14" t="n">
        <f aca="false">I90-J90</f>
        <v>24007.96</v>
      </c>
      <c r="L90" s="13" t="n">
        <v>16019.69</v>
      </c>
      <c r="M90" s="14" t="n">
        <f aca="false">K90-L90</f>
        <v>7988.27</v>
      </c>
      <c r="N90" s="13" t="n">
        <v>1430.28</v>
      </c>
      <c r="O90" s="13" t="n">
        <v>5005.1</v>
      </c>
      <c r="P90" s="13" t="n">
        <v>372.69</v>
      </c>
      <c r="Q90" s="14" t="n">
        <f aca="false">M90-N90-O90-P90</f>
        <v>1180.2</v>
      </c>
      <c r="R90" s="15" t="n">
        <f aca="false">IFERROR(K90/I90,0)</f>
        <v>0.469994902246066</v>
      </c>
      <c r="S90" s="15" t="n">
        <f aca="false">IFERROR(M90/I90,0)</f>
        <v>0.156383390249117</v>
      </c>
      <c r="T90" s="15" t="n">
        <f aca="false">IFERROR(Q90/I90,0)</f>
        <v>0.0231043363797176</v>
      </c>
      <c r="U90" s="13" t="n">
        <v>51431.52</v>
      </c>
      <c r="V90" s="14" t="n">
        <f aca="false">I90</f>
        <v>51081.32</v>
      </c>
      <c r="W90" s="13" t="n">
        <v>43716.79</v>
      </c>
      <c r="X90" s="14" t="n">
        <f aca="false">J90+L90</f>
        <v>43093.05</v>
      </c>
      <c r="Y90" s="14" t="n">
        <f aca="false">V90-U90</f>
        <v>-350.199999999997</v>
      </c>
      <c r="Z90" s="13" t="n">
        <v>93653.51</v>
      </c>
      <c r="AA90" s="13" t="n">
        <v>18144.38</v>
      </c>
      <c r="AB90" s="13" t="n">
        <v>271175.92</v>
      </c>
      <c r="AC90" s="14" t="n">
        <f aca="false">Z90-AA90</f>
        <v>75509.13</v>
      </c>
    </row>
    <row r="91" customFormat="false" ht="15" hidden="false" customHeight="false" outlineLevel="0" collapsed="false">
      <c r="A91" s="11" t="n">
        <v>45809</v>
      </c>
      <c r="B91" s="12" t="s">
        <v>51</v>
      </c>
      <c r="C91" s="12" t="s">
        <v>49</v>
      </c>
      <c r="D91" s="12" t="n">
        <v>2025</v>
      </c>
      <c r="E91" s="12" t="s">
        <v>65</v>
      </c>
      <c r="F91" s="12" t="s">
        <v>63</v>
      </c>
      <c r="G91" s="12" t="s">
        <v>66</v>
      </c>
      <c r="H91" s="12" t="s">
        <v>67</v>
      </c>
      <c r="I91" s="13" t="n">
        <v>52184.93</v>
      </c>
      <c r="J91" s="13" t="n">
        <v>26298.17</v>
      </c>
      <c r="K91" s="14" t="n">
        <f aca="false">I91-J91</f>
        <v>25886.76</v>
      </c>
      <c r="L91" s="13" t="n">
        <v>17469.43</v>
      </c>
      <c r="M91" s="14" t="n">
        <f aca="false">K91-L91</f>
        <v>8417.33</v>
      </c>
      <c r="N91" s="13" t="n">
        <v>1461.18</v>
      </c>
      <c r="O91" s="13" t="n">
        <v>5070.5</v>
      </c>
      <c r="P91" s="13" t="n">
        <v>452.56</v>
      </c>
      <c r="Q91" s="14" t="n">
        <f aca="false">M91-N91-O91-P91</f>
        <v>1433.09</v>
      </c>
      <c r="R91" s="15" t="n">
        <f aca="false">IFERROR(K91/I91,0)</f>
        <v>0.496058153187137</v>
      </c>
      <c r="S91" s="15" t="n">
        <f aca="false">IFERROR(M91/I91,0)</f>
        <v>0.161298098895601</v>
      </c>
      <c r="T91" s="15" t="n">
        <f aca="false">IFERROR(Q91/I91,0)</f>
        <v>0.0274617595539555</v>
      </c>
      <c r="U91" s="13" t="n">
        <v>51791.54</v>
      </c>
      <c r="V91" s="14" t="n">
        <f aca="false">I91</f>
        <v>52184.93</v>
      </c>
      <c r="W91" s="13" t="n">
        <v>44022.81</v>
      </c>
      <c r="X91" s="14" t="n">
        <f aca="false">J91+L91</f>
        <v>43767.6</v>
      </c>
      <c r="Y91" s="14" t="n">
        <f aca="false">V91-U91</f>
        <v>393.389999999999</v>
      </c>
      <c r="Z91" s="13" t="n">
        <v>98886.57</v>
      </c>
      <c r="AA91" s="13" t="n">
        <v>19947.57</v>
      </c>
      <c r="AB91" s="13" t="n">
        <v>274634.23</v>
      </c>
      <c r="AC91" s="14" t="n">
        <f aca="false">Z91-AA91</f>
        <v>78939</v>
      </c>
    </row>
    <row r="92" customFormat="false" ht="15" hidden="false" customHeight="false" outlineLevel="0" collapsed="false">
      <c r="A92" s="11" t="n">
        <v>45839</v>
      </c>
      <c r="B92" s="12" t="s">
        <v>52</v>
      </c>
      <c r="C92" s="12" t="s">
        <v>53</v>
      </c>
      <c r="D92" s="12" t="n">
        <v>2025</v>
      </c>
      <c r="E92" s="12" t="s">
        <v>65</v>
      </c>
      <c r="F92" s="12" t="s">
        <v>63</v>
      </c>
      <c r="G92" s="12" t="s">
        <v>66</v>
      </c>
      <c r="H92" s="12" t="s">
        <v>67</v>
      </c>
      <c r="I92" s="13" t="n">
        <v>62916.77</v>
      </c>
      <c r="J92" s="13" t="n">
        <v>31208.41</v>
      </c>
      <c r="K92" s="14" t="n">
        <f aca="false">I92-J92</f>
        <v>31708.36</v>
      </c>
      <c r="L92" s="13" t="n">
        <v>16646.41</v>
      </c>
      <c r="M92" s="14" t="n">
        <f aca="false">K92-L92</f>
        <v>15061.95</v>
      </c>
      <c r="N92" s="13" t="n">
        <v>1761.67</v>
      </c>
      <c r="O92" s="13" t="n">
        <v>1936.79</v>
      </c>
      <c r="P92" s="13" t="n">
        <v>2727.24</v>
      </c>
      <c r="Q92" s="14" t="n">
        <f aca="false">M92-N92-O92-P92</f>
        <v>8636.25</v>
      </c>
      <c r="R92" s="15" t="n">
        <f aca="false">IFERROR(K92/I92,0)</f>
        <v>0.503973106057415</v>
      </c>
      <c r="S92" s="15" t="n">
        <f aca="false">IFERROR(M92/I92,0)</f>
        <v>0.239394838609801</v>
      </c>
      <c r="T92" s="15" t="n">
        <f aca="false">IFERROR(Q92/I92,0)</f>
        <v>0.137264675220931</v>
      </c>
      <c r="U92" s="13" t="n">
        <v>52154.08</v>
      </c>
      <c r="V92" s="14" t="n">
        <f aca="false">I92</f>
        <v>62916.77</v>
      </c>
      <c r="W92" s="13" t="n">
        <v>44330.97</v>
      </c>
      <c r="X92" s="14" t="n">
        <f aca="false">J92+L92</f>
        <v>47854.82</v>
      </c>
      <c r="Y92" s="14" t="n">
        <f aca="false">V92-U92</f>
        <v>10762.69</v>
      </c>
      <c r="Z92" s="13" t="n">
        <v>118303.41</v>
      </c>
      <c r="AA92" s="13" t="n">
        <v>18810.28</v>
      </c>
      <c r="AB92" s="13" t="n">
        <v>268639.84</v>
      </c>
      <c r="AC92" s="14" t="n">
        <f aca="false">Z92-AA92</f>
        <v>99493.13</v>
      </c>
    </row>
    <row r="93" customFormat="false" ht="15" hidden="false" customHeight="false" outlineLevel="0" collapsed="false">
      <c r="A93" s="11" t="n">
        <v>45870</v>
      </c>
      <c r="B93" s="12" t="s">
        <v>54</v>
      </c>
      <c r="C93" s="12" t="s">
        <v>53</v>
      </c>
      <c r="D93" s="12" t="n">
        <v>2025</v>
      </c>
      <c r="E93" s="12" t="s">
        <v>65</v>
      </c>
      <c r="F93" s="12" t="s">
        <v>63</v>
      </c>
      <c r="G93" s="12" t="s">
        <v>66</v>
      </c>
      <c r="H93" s="12" t="s">
        <v>67</v>
      </c>
      <c r="I93" s="13" t="n">
        <v>47281.35</v>
      </c>
      <c r="J93" s="13" t="n">
        <v>25109.89</v>
      </c>
      <c r="K93" s="14" t="n">
        <f aca="false">I93-J93</f>
        <v>22171.46</v>
      </c>
      <c r="L93" s="13" t="n">
        <v>18382.93</v>
      </c>
      <c r="M93" s="14" t="n">
        <f aca="false">K93-L93</f>
        <v>3788.53</v>
      </c>
      <c r="N93" s="13" t="n">
        <v>1323.88</v>
      </c>
      <c r="O93" s="13" t="n">
        <v>2110.22</v>
      </c>
      <c r="P93" s="13" t="n">
        <v>85.06</v>
      </c>
      <c r="Q93" s="14" t="n">
        <f aca="false">M93-N93-O93-P93</f>
        <v>269.369999999999</v>
      </c>
      <c r="R93" s="15" t="n">
        <f aca="false">IFERROR(K93/I93,0)</f>
        <v>0.468926119918319</v>
      </c>
      <c r="S93" s="15" t="n">
        <f aca="false">IFERROR(M93/I93,0)</f>
        <v>0.0801273652296307</v>
      </c>
      <c r="T93" s="15" t="n">
        <f aca="false">IFERROR(Q93/I93,0)</f>
        <v>0.00569717235231225</v>
      </c>
      <c r="U93" s="13" t="n">
        <v>52519.16</v>
      </c>
      <c r="V93" s="14" t="n">
        <f aca="false">I93</f>
        <v>47281.35</v>
      </c>
      <c r="W93" s="13" t="n">
        <v>44641.29</v>
      </c>
      <c r="X93" s="14" t="n">
        <f aca="false">J93+L93</f>
        <v>43492.82</v>
      </c>
      <c r="Y93" s="14" t="n">
        <f aca="false">V93-U93</f>
        <v>-5237.81000000001</v>
      </c>
      <c r="Z93" s="13" t="n">
        <v>85364.56</v>
      </c>
      <c r="AA93" s="13" t="n">
        <v>20486.7</v>
      </c>
      <c r="AB93" s="13" t="n">
        <v>265031.32</v>
      </c>
      <c r="AC93" s="14" t="n">
        <f aca="false">Z93-AA93</f>
        <v>64877.86</v>
      </c>
    </row>
    <row r="94" customFormat="false" ht="15" hidden="false" customHeight="false" outlineLevel="0" collapsed="false">
      <c r="A94" s="11" t="n">
        <v>45901</v>
      </c>
      <c r="B94" s="12" t="s">
        <v>55</v>
      </c>
      <c r="C94" s="12" t="s">
        <v>53</v>
      </c>
      <c r="D94" s="12" t="n">
        <v>2025</v>
      </c>
      <c r="E94" s="12" t="s">
        <v>65</v>
      </c>
      <c r="F94" s="12" t="s">
        <v>63</v>
      </c>
      <c r="G94" s="12" t="s">
        <v>66</v>
      </c>
      <c r="H94" s="12" t="s">
        <v>67</v>
      </c>
      <c r="I94" s="13" t="n">
        <v>50123.61</v>
      </c>
      <c r="J94" s="13" t="n">
        <v>24328.61</v>
      </c>
      <c r="K94" s="14" t="n">
        <f aca="false">I94-J94</f>
        <v>25795</v>
      </c>
      <c r="L94" s="13" t="n">
        <v>17007.86</v>
      </c>
      <c r="M94" s="14" t="n">
        <f aca="false">K94-L94</f>
        <v>8787.14</v>
      </c>
      <c r="N94" s="13" t="n">
        <v>1403.46</v>
      </c>
      <c r="O94" s="13" t="n">
        <v>2779.94</v>
      </c>
      <c r="P94" s="13" t="n">
        <v>1104.9</v>
      </c>
      <c r="Q94" s="14" t="n">
        <f aca="false">M94-N94-O94-P94</f>
        <v>3498.84</v>
      </c>
      <c r="R94" s="15" t="n">
        <f aca="false">IFERROR(K94/I94,0)</f>
        <v>0.514627737307828</v>
      </c>
      <c r="S94" s="15" t="n">
        <f aca="false">IFERROR(M94/I94,0)</f>
        <v>0.17530940010107</v>
      </c>
      <c r="T94" s="15" t="n">
        <f aca="false">IFERROR(Q94/I94,0)</f>
        <v>0.0698042299826369</v>
      </c>
      <c r="U94" s="13" t="n">
        <v>52886.79</v>
      </c>
      <c r="V94" s="14" t="n">
        <f aca="false">I94</f>
        <v>50123.61</v>
      </c>
      <c r="W94" s="13" t="n">
        <v>44953.78</v>
      </c>
      <c r="X94" s="14" t="n">
        <f aca="false">J94+L94</f>
        <v>41336.47</v>
      </c>
      <c r="Y94" s="14" t="n">
        <f aca="false">V94-U94</f>
        <v>-2763.18</v>
      </c>
      <c r="Z94" s="13" t="n">
        <v>95984.31</v>
      </c>
      <c r="AA94" s="13" t="n">
        <v>19879.99</v>
      </c>
      <c r="AB94" s="13" t="n">
        <v>260539.67</v>
      </c>
      <c r="AC94" s="14" t="n">
        <f aca="false">Z94-AA94</f>
        <v>76104.32</v>
      </c>
    </row>
    <row r="95" customFormat="false" ht="15" hidden="false" customHeight="false" outlineLevel="0" collapsed="false">
      <c r="A95" s="11" t="n">
        <v>45931</v>
      </c>
      <c r="B95" s="12" t="s">
        <v>56</v>
      </c>
      <c r="C95" s="12" t="s">
        <v>57</v>
      </c>
      <c r="D95" s="12" t="n">
        <v>2025</v>
      </c>
      <c r="E95" s="12" t="s">
        <v>65</v>
      </c>
      <c r="F95" s="12" t="s">
        <v>63</v>
      </c>
      <c r="G95" s="12" t="s">
        <v>66</v>
      </c>
      <c r="H95" s="12" t="s">
        <v>67</v>
      </c>
      <c r="I95" s="13" t="n">
        <v>52258.11</v>
      </c>
      <c r="J95" s="13" t="n">
        <v>26809.97</v>
      </c>
      <c r="K95" s="14" t="n">
        <f aca="false">I95-J95</f>
        <v>25448.14</v>
      </c>
      <c r="L95" s="13" t="n">
        <v>18716.37</v>
      </c>
      <c r="M95" s="14" t="n">
        <f aca="false">K95-L95</f>
        <v>6731.77</v>
      </c>
      <c r="N95" s="13" t="n">
        <v>1463.23</v>
      </c>
      <c r="O95" s="13" t="n">
        <v>3549.63</v>
      </c>
      <c r="P95" s="13" t="n">
        <v>412.54</v>
      </c>
      <c r="Q95" s="14" t="n">
        <f aca="false">M95-N95-O95-P95</f>
        <v>1306.37</v>
      </c>
      <c r="R95" s="15" t="n">
        <f aca="false">IFERROR(K95/I95,0)</f>
        <v>0.486970156402518</v>
      </c>
      <c r="S95" s="15" t="n">
        <f aca="false">IFERROR(M95/I95,0)</f>
        <v>0.128817708868537</v>
      </c>
      <c r="T95" s="15" t="n">
        <f aca="false">IFERROR(Q95/I95,0)</f>
        <v>0.0249984165137239</v>
      </c>
      <c r="U95" s="13" t="n">
        <v>53257</v>
      </c>
      <c r="V95" s="14" t="n">
        <f aca="false">I95</f>
        <v>52258.11</v>
      </c>
      <c r="W95" s="13" t="n">
        <v>45268.45</v>
      </c>
      <c r="X95" s="14" t="n">
        <f aca="false">J95+L95</f>
        <v>45526.34</v>
      </c>
      <c r="Y95" s="14" t="n">
        <f aca="false">V95-U95</f>
        <v>-998.889999999999</v>
      </c>
      <c r="Z95" s="13" t="n">
        <v>100483.04</v>
      </c>
      <c r="AA95" s="13" t="n">
        <v>21546.31</v>
      </c>
      <c r="AB95" s="13" t="n">
        <v>260594.23</v>
      </c>
      <c r="AC95" s="14" t="n">
        <f aca="false">Z95-AA95</f>
        <v>78936.73</v>
      </c>
    </row>
    <row r="96" customFormat="false" ht="15" hidden="false" customHeight="false" outlineLevel="0" collapsed="false">
      <c r="A96" s="11" t="n">
        <v>45962</v>
      </c>
      <c r="B96" s="12" t="s">
        <v>58</v>
      </c>
      <c r="C96" s="12" t="s">
        <v>57</v>
      </c>
      <c r="D96" s="12" t="n">
        <v>2025</v>
      </c>
      <c r="E96" s="12" t="s">
        <v>65</v>
      </c>
      <c r="F96" s="12" t="s">
        <v>63</v>
      </c>
      <c r="G96" s="12" t="s">
        <v>66</v>
      </c>
      <c r="H96" s="12" t="s">
        <v>67</v>
      </c>
      <c r="I96" s="13" t="n">
        <v>50692.37</v>
      </c>
      <c r="J96" s="13" t="n">
        <v>26083.18</v>
      </c>
      <c r="K96" s="14" t="n">
        <f aca="false">I96-J96</f>
        <v>24609.19</v>
      </c>
      <c r="L96" s="13" t="n">
        <v>18323.93</v>
      </c>
      <c r="M96" s="14" t="n">
        <f aca="false">K96-L96</f>
        <v>6285.26</v>
      </c>
      <c r="N96" s="13" t="n">
        <v>1419.39</v>
      </c>
      <c r="O96" s="13" t="n">
        <v>4371.91</v>
      </c>
      <c r="P96" s="13" t="n">
        <v>118.55</v>
      </c>
      <c r="Q96" s="14" t="n">
        <f aca="false">M96-N96-O96-P96</f>
        <v>375.410000000002</v>
      </c>
      <c r="R96" s="15" t="n">
        <f aca="false">IFERROR(K96/I96,0)</f>
        <v>0.485461421511758</v>
      </c>
      <c r="S96" s="15" t="n">
        <f aca="false">IFERROR(M96/I96,0)</f>
        <v>0.12398828462745</v>
      </c>
      <c r="T96" s="15" t="n">
        <f aca="false">IFERROR(Q96/I96,0)</f>
        <v>0.00740565098850186</v>
      </c>
      <c r="U96" s="13" t="n">
        <v>53629.8</v>
      </c>
      <c r="V96" s="14" t="n">
        <f aca="false">I96</f>
        <v>50692.37</v>
      </c>
      <c r="W96" s="13" t="n">
        <v>45585.33</v>
      </c>
      <c r="X96" s="14" t="n">
        <f aca="false">J96+L96</f>
        <v>44407.11</v>
      </c>
      <c r="Y96" s="14" t="n">
        <f aca="false">V96-U96</f>
        <v>-2937.43</v>
      </c>
      <c r="Z96" s="13" t="n">
        <v>94101.51</v>
      </c>
      <c r="AA96" s="13" t="n">
        <v>21307.05</v>
      </c>
      <c r="AB96" s="13" t="n">
        <v>263529.33</v>
      </c>
      <c r="AC96" s="14" t="n">
        <f aca="false">Z96-AA96</f>
        <v>72794.46</v>
      </c>
    </row>
    <row r="97" customFormat="false" ht="15" hidden="false" customHeight="false" outlineLevel="0" collapsed="false">
      <c r="A97" s="11" t="n">
        <v>45992</v>
      </c>
      <c r="B97" s="12" t="s">
        <v>59</v>
      </c>
      <c r="C97" s="12" t="s">
        <v>57</v>
      </c>
      <c r="D97" s="12" t="n">
        <v>2025</v>
      </c>
      <c r="E97" s="12" t="s">
        <v>65</v>
      </c>
      <c r="F97" s="12" t="s">
        <v>63</v>
      </c>
      <c r="G97" s="12" t="s">
        <v>66</v>
      </c>
      <c r="H97" s="12" t="s">
        <v>67</v>
      </c>
      <c r="I97" s="13" t="n">
        <v>57596.27</v>
      </c>
      <c r="J97" s="13" t="n">
        <v>31061.39</v>
      </c>
      <c r="K97" s="14" t="n">
        <f aca="false">I97-J97</f>
        <v>26534.88</v>
      </c>
      <c r="L97" s="13" t="n">
        <v>17270.42</v>
      </c>
      <c r="M97" s="14" t="n">
        <f aca="false">K97-L97</f>
        <v>9264.46</v>
      </c>
      <c r="N97" s="13" t="n">
        <v>1612.7</v>
      </c>
      <c r="O97" s="13" t="n">
        <v>5108.7</v>
      </c>
      <c r="P97" s="13" t="n">
        <v>610.33</v>
      </c>
      <c r="Q97" s="14" t="n">
        <f aca="false">M97-N97-O97-P97</f>
        <v>1932.73</v>
      </c>
      <c r="R97" s="15" t="n">
        <f aca="false">IFERROR(K97/I97,0)</f>
        <v>0.46070483383733</v>
      </c>
      <c r="S97" s="15" t="n">
        <f aca="false">IFERROR(M97/I97,0)</f>
        <v>0.160851735711358</v>
      </c>
      <c r="T97" s="15" t="n">
        <f aca="false">IFERROR(Q97/I97,0)</f>
        <v>0.033556513295045</v>
      </c>
      <c r="U97" s="13" t="n">
        <v>54005.21</v>
      </c>
      <c r="V97" s="14" t="n">
        <f aca="false">I97</f>
        <v>57596.27</v>
      </c>
      <c r="W97" s="13" t="n">
        <v>45904.43</v>
      </c>
      <c r="X97" s="14" t="n">
        <f aca="false">J97+L97</f>
        <v>48331.81</v>
      </c>
      <c r="Y97" s="14" t="n">
        <f aca="false">V97-U97</f>
        <v>3591.06</v>
      </c>
      <c r="Z97" s="13" t="n">
        <v>106742.77</v>
      </c>
      <c r="AA97" s="13" t="n">
        <v>19062.87</v>
      </c>
      <c r="AB97" s="13" t="n">
        <v>262042.12</v>
      </c>
      <c r="AC97" s="14" t="n">
        <f aca="false">Z97-AA97</f>
        <v>87679.9</v>
      </c>
    </row>
    <row r="98" customFormat="false" ht="15" hidden="false" customHeight="false" outlineLevel="0" collapsed="false">
      <c r="A98" s="11" t="n">
        <v>45292</v>
      </c>
      <c r="B98" s="12" t="s">
        <v>40</v>
      </c>
      <c r="C98" s="12" t="s">
        <v>41</v>
      </c>
      <c r="D98" s="12" t="n">
        <v>2024</v>
      </c>
      <c r="E98" s="12" t="s">
        <v>42</v>
      </c>
      <c r="F98" s="12" t="s">
        <v>68</v>
      </c>
      <c r="G98" s="12" t="s">
        <v>44</v>
      </c>
      <c r="H98" s="12" t="s">
        <v>69</v>
      </c>
      <c r="I98" s="13" t="n">
        <v>84976.15</v>
      </c>
      <c r="J98" s="13" t="n">
        <v>21417.24</v>
      </c>
      <c r="K98" s="14" t="n">
        <f aca="false">I98-J98</f>
        <v>63558.91</v>
      </c>
      <c r="L98" s="13" t="n">
        <v>33790.62</v>
      </c>
      <c r="M98" s="14" t="n">
        <f aca="false">K98-L98</f>
        <v>29768.29</v>
      </c>
      <c r="N98" s="13" t="n">
        <v>2719.24</v>
      </c>
      <c r="O98" s="13" t="n">
        <v>4903.96</v>
      </c>
      <c r="P98" s="13" t="n">
        <v>5314.82</v>
      </c>
      <c r="Q98" s="14" t="n">
        <f aca="false">M98-N98-O98-P98</f>
        <v>16830.27</v>
      </c>
      <c r="R98" s="15" t="n">
        <f aca="false">IFERROR(K98/I98,0)</f>
        <v>0.747961751620896</v>
      </c>
      <c r="S98" s="15" t="n">
        <f aca="false">IFERROR(M98/I98,0)</f>
        <v>0.350313470309022</v>
      </c>
      <c r="T98" s="15" t="n">
        <f aca="false">IFERROR(Q98/I98,0)</f>
        <v>0.198058749425574</v>
      </c>
      <c r="U98" s="13" t="n">
        <v>91000</v>
      </c>
      <c r="V98" s="14" t="n">
        <f aca="false">I98</f>
        <v>84976.15</v>
      </c>
      <c r="W98" s="13" t="n">
        <v>51870</v>
      </c>
      <c r="X98" s="14" t="n">
        <f aca="false">J98+L98</f>
        <v>55207.86</v>
      </c>
      <c r="Y98" s="14" t="n">
        <f aca="false">V98-U98</f>
        <v>-6023.85000000001</v>
      </c>
      <c r="Z98" s="13" t="n">
        <v>141080.92</v>
      </c>
      <c r="AA98" s="13" t="n">
        <v>43330.69</v>
      </c>
      <c r="AB98" s="13" t="n">
        <v>195674.76</v>
      </c>
      <c r="AC98" s="14" t="n">
        <f aca="false">Z98-AA98</f>
        <v>97750.23</v>
      </c>
    </row>
    <row r="99" customFormat="false" ht="15" hidden="false" customHeight="false" outlineLevel="0" collapsed="false">
      <c r="A99" s="11" t="n">
        <v>45323</v>
      </c>
      <c r="B99" s="12" t="s">
        <v>46</v>
      </c>
      <c r="C99" s="12" t="s">
        <v>41</v>
      </c>
      <c r="D99" s="12" t="n">
        <v>2024</v>
      </c>
      <c r="E99" s="12" t="s">
        <v>42</v>
      </c>
      <c r="F99" s="12" t="s">
        <v>68</v>
      </c>
      <c r="G99" s="12" t="s">
        <v>44</v>
      </c>
      <c r="H99" s="12" t="s">
        <v>69</v>
      </c>
      <c r="I99" s="13" t="n">
        <v>87518.53</v>
      </c>
      <c r="J99" s="13" t="n">
        <v>22320.02</v>
      </c>
      <c r="K99" s="14" t="n">
        <f aca="false">I99-J99</f>
        <v>65198.51</v>
      </c>
      <c r="L99" s="13" t="n">
        <v>26471.93</v>
      </c>
      <c r="M99" s="14" t="n">
        <f aca="false">K99-L99</f>
        <v>38726.58</v>
      </c>
      <c r="N99" s="13" t="n">
        <v>2800.59</v>
      </c>
      <c r="O99" s="13" t="n">
        <v>5132.83</v>
      </c>
      <c r="P99" s="13" t="n">
        <v>7390.36</v>
      </c>
      <c r="Q99" s="14" t="n">
        <f aca="false">M99-N99-O99-P99</f>
        <v>23402.8</v>
      </c>
      <c r="R99" s="15" t="n">
        <f aca="false">IFERROR(K99/I99,0)</f>
        <v>0.744968065619932</v>
      </c>
      <c r="S99" s="15" t="n">
        <f aca="false">IFERROR(M99/I99,0)</f>
        <v>0.442495777751294</v>
      </c>
      <c r="T99" s="15" t="n">
        <f aca="false">IFERROR(Q99/I99,0)</f>
        <v>0.267403942913575</v>
      </c>
      <c r="U99" s="13" t="n">
        <v>92729</v>
      </c>
      <c r="V99" s="14" t="n">
        <f aca="false">I99</f>
        <v>87518.53</v>
      </c>
      <c r="W99" s="13" t="n">
        <v>52855.53</v>
      </c>
      <c r="X99" s="14" t="n">
        <f aca="false">J99+L99</f>
        <v>48791.95</v>
      </c>
      <c r="Y99" s="14" t="n">
        <f aca="false">V99-U99</f>
        <v>-5210.47</v>
      </c>
      <c r="Z99" s="13" t="n">
        <v>142126.17</v>
      </c>
      <c r="AA99" s="13" t="n">
        <v>35476.85</v>
      </c>
      <c r="AB99" s="13" t="n">
        <v>203802.8</v>
      </c>
      <c r="AC99" s="14" t="n">
        <f aca="false">Z99-AA99</f>
        <v>106649.32</v>
      </c>
    </row>
    <row r="100" customFormat="false" ht="15" hidden="false" customHeight="false" outlineLevel="0" collapsed="false">
      <c r="A100" s="11" t="n">
        <v>45352</v>
      </c>
      <c r="B100" s="12" t="s">
        <v>47</v>
      </c>
      <c r="C100" s="12" t="s">
        <v>41</v>
      </c>
      <c r="D100" s="12" t="n">
        <v>2024</v>
      </c>
      <c r="E100" s="12" t="s">
        <v>42</v>
      </c>
      <c r="F100" s="12" t="s">
        <v>68</v>
      </c>
      <c r="G100" s="12" t="s">
        <v>44</v>
      </c>
      <c r="H100" s="12" t="s">
        <v>69</v>
      </c>
      <c r="I100" s="13" t="n">
        <v>85757.6</v>
      </c>
      <c r="J100" s="13" t="n">
        <v>24883.86</v>
      </c>
      <c r="K100" s="14" t="n">
        <f aca="false">I100-J100</f>
        <v>60873.74</v>
      </c>
      <c r="L100" s="13" t="n">
        <v>25370.33</v>
      </c>
      <c r="M100" s="14" t="n">
        <f aca="false">K100-L100</f>
        <v>35503.41</v>
      </c>
      <c r="N100" s="13" t="n">
        <v>2744.24</v>
      </c>
      <c r="O100" s="13" t="n">
        <v>4737.69</v>
      </c>
      <c r="P100" s="13" t="n">
        <v>6725.16</v>
      </c>
      <c r="Q100" s="14" t="n">
        <f aca="false">M100-N100-O100-P100</f>
        <v>21296.32</v>
      </c>
      <c r="R100" s="15" t="n">
        <f aca="false">IFERROR(K100/I100,0)</f>
        <v>0.709834930081999</v>
      </c>
      <c r="S100" s="15" t="n">
        <f aca="false">IFERROR(M100/I100,0)</f>
        <v>0.413997243393005</v>
      </c>
      <c r="T100" s="15" t="n">
        <f aca="false">IFERROR(Q100/I100,0)</f>
        <v>0.248331576443371</v>
      </c>
      <c r="U100" s="13" t="n">
        <v>94490.85</v>
      </c>
      <c r="V100" s="14" t="n">
        <f aca="false">I100</f>
        <v>85757.6</v>
      </c>
      <c r="W100" s="13" t="n">
        <v>53859.79</v>
      </c>
      <c r="X100" s="14" t="n">
        <f aca="false">J100+L100</f>
        <v>50254.19</v>
      </c>
      <c r="Y100" s="14" t="n">
        <f aca="false">V100-U100</f>
        <v>-8733.25</v>
      </c>
      <c r="Z100" s="13" t="n">
        <v>139731.25</v>
      </c>
      <c r="AA100" s="13" t="n">
        <v>34808.11</v>
      </c>
      <c r="AB100" s="13" t="n">
        <v>196433.94</v>
      </c>
      <c r="AC100" s="14" t="n">
        <f aca="false">Z100-AA100</f>
        <v>104923.14</v>
      </c>
    </row>
    <row r="101" customFormat="false" ht="15" hidden="false" customHeight="false" outlineLevel="0" collapsed="false">
      <c r="A101" s="11" t="n">
        <v>45383</v>
      </c>
      <c r="B101" s="12" t="s">
        <v>48</v>
      </c>
      <c r="C101" s="12" t="s">
        <v>49</v>
      </c>
      <c r="D101" s="12" t="n">
        <v>2024</v>
      </c>
      <c r="E101" s="12" t="s">
        <v>42</v>
      </c>
      <c r="F101" s="12" t="s">
        <v>68</v>
      </c>
      <c r="G101" s="12" t="s">
        <v>44</v>
      </c>
      <c r="H101" s="12" t="s">
        <v>69</v>
      </c>
      <c r="I101" s="13" t="n">
        <v>102579.7</v>
      </c>
      <c r="J101" s="13" t="n">
        <v>22872.45</v>
      </c>
      <c r="K101" s="14" t="n">
        <f aca="false">I101-J101</f>
        <v>79707.25</v>
      </c>
      <c r="L101" s="13" t="n">
        <v>29598.45</v>
      </c>
      <c r="M101" s="14" t="n">
        <f aca="false">K101-L101</f>
        <v>50108.8</v>
      </c>
      <c r="N101" s="13" t="n">
        <v>3282.55</v>
      </c>
      <c r="O101" s="13" t="n">
        <v>3795.59</v>
      </c>
      <c r="P101" s="13" t="n">
        <v>10327.36</v>
      </c>
      <c r="Q101" s="14" t="n">
        <f aca="false">M101-N101-O101-P101</f>
        <v>32703.3</v>
      </c>
      <c r="R101" s="15" t="n">
        <f aca="false">IFERROR(K101/I101,0)</f>
        <v>0.777027521039738</v>
      </c>
      <c r="S101" s="15" t="n">
        <f aca="false">IFERROR(M101/I101,0)</f>
        <v>0.488486513413473</v>
      </c>
      <c r="T101" s="15" t="n">
        <f aca="false">IFERROR(Q101/I101,0)</f>
        <v>0.318808692168139</v>
      </c>
      <c r="U101" s="13" t="n">
        <v>96286.18</v>
      </c>
      <c r="V101" s="14" t="n">
        <f aca="false">I101</f>
        <v>102579.7</v>
      </c>
      <c r="W101" s="13" t="n">
        <v>54883.12</v>
      </c>
      <c r="X101" s="14" t="n">
        <f aca="false">J101+L101</f>
        <v>52470.9</v>
      </c>
      <c r="Y101" s="14" t="n">
        <f aca="false">V101-U101</f>
        <v>6293.52</v>
      </c>
      <c r="Z101" s="13" t="n">
        <v>179495.71</v>
      </c>
      <c r="AA101" s="13" t="n">
        <v>39423.72</v>
      </c>
      <c r="AB101" s="13" t="n">
        <v>200458.06</v>
      </c>
      <c r="AC101" s="14" t="n">
        <f aca="false">Z101-AA101</f>
        <v>140071.99</v>
      </c>
    </row>
    <row r="102" customFormat="false" ht="15" hidden="false" customHeight="false" outlineLevel="0" collapsed="false">
      <c r="A102" s="11" t="n">
        <v>45413</v>
      </c>
      <c r="B102" s="12" t="s">
        <v>50</v>
      </c>
      <c r="C102" s="12" t="s">
        <v>49</v>
      </c>
      <c r="D102" s="12" t="n">
        <v>2024</v>
      </c>
      <c r="E102" s="12" t="s">
        <v>42</v>
      </c>
      <c r="F102" s="12" t="s">
        <v>68</v>
      </c>
      <c r="G102" s="12" t="s">
        <v>44</v>
      </c>
      <c r="H102" s="12" t="s">
        <v>69</v>
      </c>
      <c r="I102" s="13" t="n">
        <v>102108.41</v>
      </c>
      <c r="J102" s="13" t="n">
        <v>28589.78</v>
      </c>
      <c r="K102" s="14" t="n">
        <f aca="false">I102-J102</f>
        <v>73518.63</v>
      </c>
      <c r="L102" s="13" t="n">
        <v>29472.54</v>
      </c>
      <c r="M102" s="14" t="n">
        <f aca="false">K102-L102</f>
        <v>44046.09</v>
      </c>
      <c r="N102" s="13" t="n">
        <v>3267.47</v>
      </c>
      <c r="O102" s="13" t="n">
        <v>3647.66</v>
      </c>
      <c r="P102" s="13" t="n">
        <v>8911.43</v>
      </c>
      <c r="Q102" s="14" t="n">
        <f aca="false">M102-N102-O102-P102</f>
        <v>28219.53</v>
      </c>
      <c r="R102" s="15" t="n">
        <f aca="false">IFERROR(K102/I102,0)</f>
        <v>0.720005629311043</v>
      </c>
      <c r="S102" s="15" t="n">
        <f aca="false">IFERROR(M102/I102,0)</f>
        <v>0.431365937438454</v>
      </c>
      <c r="T102" s="15" t="n">
        <f aca="false">IFERROR(Q102/I102,0)</f>
        <v>0.276368322648448</v>
      </c>
      <c r="U102" s="13" t="n">
        <v>98115.61</v>
      </c>
      <c r="V102" s="14" t="n">
        <f aca="false">I102</f>
        <v>102108.41</v>
      </c>
      <c r="W102" s="13" t="n">
        <v>55925.9</v>
      </c>
      <c r="X102" s="14" t="n">
        <f aca="false">J102+L102</f>
        <v>58062.32</v>
      </c>
      <c r="Y102" s="14" t="n">
        <f aca="false">V102-U102</f>
        <v>3992.8</v>
      </c>
      <c r="Z102" s="13" t="n">
        <v>169420.73</v>
      </c>
      <c r="AA102" s="13" t="n">
        <v>38596.36</v>
      </c>
      <c r="AB102" s="13" t="n">
        <v>203590.9</v>
      </c>
      <c r="AC102" s="14" t="n">
        <f aca="false">Z102-AA102</f>
        <v>130824.37</v>
      </c>
    </row>
    <row r="103" customFormat="false" ht="15" hidden="false" customHeight="false" outlineLevel="0" collapsed="false">
      <c r="A103" s="11" t="n">
        <v>45444</v>
      </c>
      <c r="B103" s="12" t="s">
        <v>51</v>
      </c>
      <c r="C103" s="12" t="s">
        <v>49</v>
      </c>
      <c r="D103" s="12" t="n">
        <v>2024</v>
      </c>
      <c r="E103" s="12" t="s">
        <v>42</v>
      </c>
      <c r="F103" s="12" t="s">
        <v>68</v>
      </c>
      <c r="G103" s="12" t="s">
        <v>44</v>
      </c>
      <c r="H103" s="12" t="s">
        <v>69</v>
      </c>
      <c r="I103" s="13" t="n">
        <v>107859.34</v>
      </c>
      <c r="J103" s="13" t="n">
        <v>26627.41</v>
      </c>
      <c r="K103" s="14" t="n">
        <f aca="false">I103-J103</f>
        <v>81231.93</v>
      </c>
      <c r="L103" s="13" t="n">
        <v>30379.63</v>
      </c>
      <c r="M103" s="14" t="n">
        <f aca="false">K103-L103</f>
        <v>50852.3</v>
      </c>
      <c r="N103" s="13" t="n">
        <v>3451.5</v>
      </c>
      <c r="O103" s="13" t="n">
        <v>4332</v>
      </c>
      <c r="P103" s="13" t="n">
        <v>10336.51</v>
      </c>
      <c r="Q103" s="14" t="n">
        <f aca="false">M103-N103-O103-P103</f>
        <v>32732.29</v>
      </c>
      <c r="R103" s="15" t="n">
        <f aca="false">IFERROR(K103/I103,0)</f>
        <v>0.753128379980816</v>
      </c>
      <c r="S103" s="15" t="n">
        <f aca="false">IFERROR(M103/I103,0)</f>
        <v>0.471468673922907</v>
      </c>
      <c r="T103" s="15" t="n">
        <f aca="false">IFERROR(Q103/I103,0)</f>
        <v>0.303472003444486</v>
      </c>
      <c r="U103" s="13" t="n">
        <v>99979.81</v>
      </c>
      <c r="V103" s="14" t="n">
        <f aca="false">I103</f>
        <v>107859.34</v>
      </c>
      <c r="W103" s="13" t="n">
        <v>56988.49</v>
      </c>
      <c r="X103" s="14" t="n">
        <f aca="false">J103+L103</f>
        <v>57007.04</v>
      </c>
      <c r="Y103" s="14" t="n">
        <f aca="false">V103-U103</f>
        <v>7879.53</v>
      </c>
      <c r="Z103" s="13" t="n">
        <v>183454.86</v>
      </c>
      <c r="AA103" s="13" t="n">
        <v>41767.57</v>
      </c>
      <c r="AB103" s="13" t="n">
        <v>203204.41</v>
      </c>
      <c r="AC103" s="14" t="n">
        <f aca="false">Z103-AA103</f>
        <v>141687.29</v>
      </c>
    </row>
    <row r="104" customFormat="false" ht="15" hidden="false" customHeight="false" outlineLevel="0" collapsed="false">
      <c r="A104" s="11" t="n">
        <v>45474</v>
      </c>
      <c r="B104" s="12" t="s">
        <v>52</v>
      </c>
      <c r="C104" s="12" t="s">
        <v>53</v>
      </c>
      <c r="D104" s="12" t="n">
        <v>2024</v>
      </c>
      <c r="E104" s="12" t="s">
        <v>42</v>
      </c>
      <c r="F104" s="12" t="s">
        <v>68</v>
      </c>
      <c r="G104" s="12" t="s">
        <v>44</v>
      </c>
      <c r="H104" s="12" t="s">
        <v>69</v>
      </c>
      <c r="I104" s="13" t="n">
        <v>95637.42</v>
      </c>
      <c r="J104" s="13" t="n">
        <v>26718.73</v>
      </c>
      <c r="K104" s="14" t="n">
        <f aca="false">I104-J104</f>
        <v>68918.69</v>
      </c>
      <c r="L104" s="13" t="n">
        <v>32750.03</v>
      </c>
      <c r="M104" s="14" t="n">
        <f aca="false">K104-L104</f>
        <v>36168.66</v>
      </c>
      <c r="N104" s="13" t="n">
        <v>3060.4</v>
      </c>
      <c r="O104" s="13" t="n">
        <v>3484.12</v>
      </c>
      <c r="P104" s="13" t="n">
        <v>7109.79</v>
      </c>
      <c r="Q104" s="14" t="n">
        <f aca="false">M104-N104-O104-P104</f>
        <v>22514.35</v>
      </c>
      <c r="R104" s="15" t="n">
        <f aca="false">IFERROR(K104/I104,0)</f>
        <v>0.720624730361819</v>
      </c>
      <c r="S104" s="15" t="n">
        <f aca="false">IFERROR(M104/I104,0)</f>
        <v>0.378185233353221</v>
      </c>
      <c r="T104" s="15" t="n">
        <f aca="false">IFERROR(Q104/I104,0)</f>
        <v>0.235413606933353</v>
      </c>
      <c r="U104" s="13" t="n">
        <v>101879.43</v>
      </c>
      <c r="V104" s="14" t="n">
        <f aca="false">I104</f>
        <v>95637.42</v>
      </c>
      <c r="W104" s="13" t="n">
        <v>58071.27</v>
      </c>
      <c r="X104" s="14" t="n">
        <f aca="false">J104+L104</f>
        <v>59468.76</v>
      </c>
      <c r="Y104" s="14" t="n">
        <f aca="false">V104-U104</f>
        <v>-6242.01</v>
      </c>
      <c r="Z104" s="13" t="n">
        <v>152015.99</v>
      </c>
      <c r="AA104" s="13" t="n">
        <v>43676.71</v>
      </c>
      <c r="AB104" s="13" t="n">
        <v>197094.62</v>
      </c>
      <c r="AC104" s="14" t="n">
        <f aca="false">Z104-AA104</f>
        <v>108339.28</v>
      </c>
    </row>
    <row r="105" customFormat="false" ht="15" hidden="false" customHeight="false" outlineLevel="0" collapsed="false">
      <c r="A105" s="11" t="n">
        <v>45505</v>
      </c>
      <c r="B105" s="12" t="s">
        <v>54</v>
      </c>
      <c r="C105" s="12" t="s">
        <v>53</v>
      </c>
      <c r="D105" s="12" t="n">
        <v>2024</v>
      </c>
      <c r="E105" s="12" t="s">
        <v>42</v>
      </c>
      <c r="F105" s="12" t="s">
        <v>68</v>
      </c>
      <c r="G105" s="12" t="s">
        <v>44</v>
      </c>
      <c r="H105" s="12" t="s">
        <v>69</v>
      </c>
      <c r="I105" s="13" t="n">
        <v>97627.41</v>
      </c>
      <c r="J105" s="13" t="n">
        <v>26863.03</v>
      </c>
      <c r="K105" s="14" t="n">
        <f aca="false">I105-J105</f>
        <v>70764.38</v>
      </c>
      <c r="L105" s="13" t="n">
        <v>30092.55</v>
      </c>
      <c r="M105" s="14" t="n">
        <f aca="false">K105-L105</f>
        <v>40671.83</v>
      </c>
      <c r="N105" s="13" t="n">
        <v>3124.08</v>
      </c>
      <c r="O105" s="13" t="n">
        <v>4256.31</v>
      </c>
      <c r="P105" s="13" t="n">
        <v>7989.95</v>
      </c>
      <c r="Q105" s="14" t="n">
        <f aca="false">M105-N105-O105-P105</f>
        <v>25301.49</v>
      </c>
      <c r="R105" s="15" t="n">
        <f aca="false">IFERROR(K105/I105,0)</f>
        <v>0.724841312496153</v>
      </c>
      <c r="S105" s="15" t="n">
        <f aca="false">IFERROR(M105/I105,0)</f>
        <v>0.416602570937814</v>
      </c>
      <c r="T105" s="15" t="n">
        <f aca="false">IFERROR(Q105/I105,0)</f>
        <v>0.259163794266385</v>
      </c>
      <c r="U105" s="13" t="n">
        <v>103815.14</v>
      </c>
      <c r="V105" s="14" t="n">
        <f aca="false">I105</f>
        <v>97627.41</v>
      </c>
      <c r="W105" s="13" t="n">
        <v>59174.63</v>
      </c>
      <c r="X105" s="14" t="n">
        <f aca="false">J105+L105</f>
        <v>56955.58</v>
      </c>
      <c r="Y105" s="14" t="n">
        <f aca="false">V105-U105</f>
        <v>-6187.73</v>
      </c>
      <c r="Z105" s="13" t="n">
        <v>161247.59</v>
      </c>
      <c r="AA105" s="13" t="n">
        <v>40744.44</v>
      </c>
      <c r="AB105" s="13" t="n">
        <v>197175.9</v>
      </c>
      <c r="AC105" s="14" t="n">
        <f aca="false">Z105-AA105</f>
        <v>120503.15</v>
      </c>
    </row>
    <row r="106" customFormat="false" ht="15" hidden="false" customHeight="false" outlineLevel="0" collapsed="false">
      <c r="A106" s="11" t="n">
        <v>45536</v>
      </c>
      <c r="B106" s="12" t="s">
        <v>55</v>
      </c>
      <c r="C106" s="12" t="s">
        <v>53</v>
      </c>
      <c r="D106" s="12" t="n">
        <v>2024</v>
      </c>
      <c r="E106" s="12" t="s">
        <v>42</v>
      </c>
      <c r="F106" s="12" t="s">
        <v>68</v>
      </c>
      <c r="G106" s="12" t="s">
        <v>44</v>
      </c>
      <c r="H106" s="12" t="s">
        <v>69</v>
      </c>
      <c r="I106" s="13" t="n">
        <v>109491.73</v>
      </c>
      <c r="J106" s="13" t="n">
        <v>30501.62</v>
      </c>
      <c r="K106" s="14" t="n">
        <f aca="false">I106-J106</f>
        <v>78990.11</v>
      </c>
      <c r="L106" s="13" t="n">
        <v>34590.99</v>
      </c>
      <c r="M106" s="14" t="n">
        <f aca="false">K106-L106</f>
        <v>44399.12</v>
      </c>
      <c r="N106" s="13" t="n">
        <v>3503.74</v>
      </c>
      <c r="O106" s="13" t="n">
        <v>4155.2</v>
      </c>
      <c r="P106" s="13" t="n">
        <v>8817.64</v>
      </c>
      <c r="Q106" s="14" t="n">
        <f aca="false">M106-N106-O106-P106</f>
        <v>27922.54</v>
      </c>
      <c r="R106" s="15" t="n">
        <f aca="false">IFERROR(K106/I106,0)</f>
        <v>0.721425353312072</v>
      </c>
      <c r="S106" s="15" t="n">
        <f aca="false">IFERROR(M106/I106,0)</f>
        <v>0.405502041113059</v>
      </c>
      <c r="T106" s="15" t="n">
        <f aca="false">IFERROR(Q106/I106,0)</f>
        <v>0.255019625683145</v>
      </c>
      <c r="U106" s="13" t="n">
        <v>105787.62</v>
      </c>
      <c r="V106" s="14" t="n">
        <f aca="false">I106</f>
        <v>109491.73</v>
      </c>
      <c r="W106" s="13" t="n">
        <v>60298.95</v>
      </c>
      <c r="X106" s="14" t="n">
        <f aca="false">J106+L106</f>
        <v>65092.61</v>
      </c>
      <c r="Y106" s="14" t="n">
        <f aca="false">V106-U106</f>
        <v>3704.11</v>
      </c>
      <c r="Z106" s="13" t="n">
        <v>185220.53</v>
      </c>
      <c r="AA106" s="13" t="n">
        <v>47743.71</v>
      </c>
      <c r="AB106" s="13" t="n">
        <v>202648.02</v>
      </c>
      <c r="AC106" s="14" t="n">
        <f aca="false">Z106-AA106</f>
        <v>137476.82</v>
      </c>
    </row>
    <row r="107" customFormat="false" ht="15" hidden="false" customHeight="false" outlineLevel="0" collapsed="false">
      <c r="A107" s="11" t="n">
        <v>45566</v>
      </c>
      <c r="B107" s="12" t="s">
        <v>56</v>
      </c>
      <c r="C107" s="12" t="s">
        <v>57</v>
      </c>
      <c r="D107" s="12" t="n">
        <v>2024</v>
      </c>
      <c r="E107" s="12" t="s">
        <v>42</v>
      </c>
      <c r="F107" s="12" t="s">
        <v>68</v>
      </c>
      <c r="G107" s="12" t="s">
        <v>44</v>
      </c>
      <c r="H107" s="12" t="s">
        <v>69</v>
      </c>
      <c r="I107" s="13" t="n">
        <v>98400.01</v>
      </c>
      <c r="J107" s="13" t="n">
        <v>24332.01</v>
      </c>
      <c r="K107" s="14" t="n">
        <f aca="false">I107-J107</f>
        <v>74068</v>
      </c>
      <c r="L107" s="13" t="n">
        <v>34533.48</v>
      </c>
      <c r="M107" s="14" t="n">
        <f aca="false">K107-L107</f>
        <v>39534.52</v>
      </c>
      <c r="N107" s="13" t="n">
        <v>3148.8</v>
      </c>
      <c r="O107" s="13" t="n">
        <v>4766.1</v>
      </c>
      <c r="P107" s="13" t="n">
        <v>7588.71</v>
      </c>
      <c r="Q107" s="14" t="n">
        <f aca="false">M107-N107-O107-P107</f>
        <v>24030.91</v>
      </c>
      <c r="R107" s="15" t="n">
        <f aca="false">IFERROR(K107/I107,0)</f>
        <v>0.752723500739482</v>
      </c>
      <c r="S107" s="15" t="n">
        <f aca="false">IFERROR(M107/I107,0)</f>
        <v>0.401773536405128</v>
      </c>
      <c r="T107" s="15" t="n">
        <f aca="false">IFERROR(Q107/I107,0)</f>
        <v>0.244216540221896</v>
      </c>
      <c r="U107" s="13" t="n">
        <v>107797.59</v>
      </c>
      <c r="V107" s="14" t="n">
        <f aca="false">I107</f>
        <v>98400.01</v>
      </c>
      <c r="W107" s="13" t="n">
        <v>61444.63</v>
      </c>
      <c r="X107" s="14" t="n">
        <f aca="false">J107+L107</f>
        <v>58865.49</v>
      </c>
      <c r="Y107" s="14" t="n">
        <f aca="false">V107-U107</f>
        <v>-9397.58</v>
      </c>
      <c r="Z107" s="13" t="n">
        <v>156388.76</v>
      </c>
      <c r="AA107" s="13" t="n">
        <v>44057.45</v>
      </c>
      <c r="AB107" s="13" t="n">
        <v>196749.05</v>
      </c>
      <c r="AC107" s="14" t="n">
        <f aca="false">Z107-AA107</f>
        <v>112331.31</v>
      </c>
    </row>
    <row r="108" customFormat="false" ht="15" hidden="false" customHeight="false" outlineLevel="0" collapsed="false">
      <c r="A108" s="11" t="n">
        <v>45597</v>
      </c>
      <c r="B108" s="12" t="s">
        <v>58</v>
      </c>
      <c r="C108" s="12" t="s">
        <v>57</v>
      </c>
      <c r="D108" s="12" t="n">
        <v>2024</v>
      </c>
      <c r="E108" s="12" t="s">
        <v>42</v>
      </c>
      <c r="F108" s="12" t="s">
        <v>68</v>
      </c>
      <c r="G108" s="12" t="s">
        <v>44</v>
      </c>
      <c r="H108" s="12" t="s">
        <v>69</v>
      </c>
      <c r="I108" s="13" t="n">
        <v>100601.72</v>
      </c>
      <c r="J108" s="13" t="n">
        <v>22829.79</v>
      </c>
      <c r="K108" s="14" t="n">
        <f aca="false">I108-J108</f>
        <v>77771.93</v>
      </c>
      <c r="L108" s="13" t="n">
        <v>37677.66</v>
      </c>
      <c r="M108" s="14" t="n">
        <f aca="false">K108-L108</f>
        <v>40094.27</v>
      </c>
      <c r="N108" s="13" t="n">
        <v>3219.26</v>
      </c>
      <c r="O108" s="13" t="n">
        <v>3275.5</v>
      </c>
      <c r="P108" s="13" t="n">
        <v>8063.88</v>
      </c>
      <c r="Q108" s="14" t="n">
        <f aca="false">M108-N108-O108-P108</f>
        <v>25535.63</v>
      </c>
      <c r="R108" s="15" t="n">
        <f aca="false">IFERROR(K108/I108,0)</f>
        <v>0.773067597651412</v>
      </c>
      <c r="S108" s="15" t="n">
        <f aca="false">IFERROR(M108/I108,0)</f>
        <v>0.398544577567859</v>
      </c>
      <c r="T108" s="15" t="n">
        <f aca="false">IFERROR(Q108/I108,0)</f>
        <v>0.253828960379604</v>
      </c>
      <c r="U108" s="13" t="n">
        <v>109845.74</v>
      </c>
      <c r="V108" s="14" t="n">
        <f aca="false">I108</f>
        <v>100601.72</v>
      </c>
      <c r="W108" s="13" t="n">
        <v>62612.07</v>
      </c>
      <c r="X108" s="14" t="n">
        <f aca="false">J108+L108</f>
        <v>60507.45</v>
      </c>
      <c r="Y108" s="14" t="n">
        <f aca="false">V108-U108</f>
        <v>-9244.02</v>
      </c>
      <c r="Z108" s="13" t="n">
        <v>160936.65</v>
      </c>
      <c r="AA108" s="13" t="n">
        <v>50908.79</v>
      </c>
      <c r="AB108" s="13" t="n">
        <v>200503.17</v>
      </c>
      <c r="AC108" s="14" t="n">
        <f aca="false">Z108-AA108</f>
        <v>110027.86</v>
      </c>
    </row>
    <row r="109" customFormat="false" ht="15" hidden="false" customHeight="false" outlineLevel="0" collapsed="false">
      <c r="A109" s="11" t="n">
        <v>45627</v>
      </c>
      <c r="B109" s="12" t="s">
        <v>59</v>
      </c>
      <c r="C109" s="12" t="s">
        <v>57</v>
      </c>
      <c r="D109" s="12" t="n">
        <v>2024</v>
      </c>
      <c r="E109" s="12" t="s">
        <v>42</v>
      </c>
      <c r="F109" s="12" t="s">
        <v>68</v>
      </c>
      <c r="G109" s="12" t="s">
        <v>44</v>
      </c>
      <c r="H109" s="12" t="s">
        <v>69</v>
      </c>
      <c r="I109" s="13" t="n">
        <v>107147.32</v>
      </c>
      <c r="J109" s="13" t="n">
        <v>26261.48</v>
      </c>
      <c r="K109" s="14" t="n">
        <f aca="false">I109-J109</f>
        <v>80885.84</v>
      </c>
      <c r="L109" s="13" t="n">
        <v>30928.68</v>
      </c>
      <c r="M109" s="14" t="n">
        <f aca="false">K109-L109</f>
        <v>49957.16</v>
      </c>
      <c r="N109" s="13" t="n">
        <v>3428.71</v>
      </c>
      <c r="O109" s="13" t="n">
        <v>2797.45</v>
      </c>
      <c r="P109" s="13" t="n">
        <v>10495.44</v>
      </c>
      <c r="Q109" s="14" t="n">
        <f aca="false">M109-N109-O109-P109</f>
        <v>33235.56</v>
      </c>
      <c r="R109" s="15" t="n">
        <f aca="false">IFERROR(K109/I109,0)</f>
        <v>0.754903062437773</v>
      </c>
      <c r="S109" s="15" t="n">
        <f aca="false">IFERROR(M109/I109,0)</f>
        <v>0.466247405908053</v>
      </c>
      <c r="T109" s="15" t="n">
        <f aca="false">IFERROR(Q109/I109,0)</f>
        <v>0.310185639734153</v>
      </c>
      <c r="U109" s="13" t="n">
        <v>111932.81</v>
      </c>
      <c r="V109" s="14" t="n">
        <f aca="false">I109</f>
        <v>107147.32</v>
      </c>
      <c r="W109" s="13" t="n">
        <v>63801.7</v>
      </c>
      <c r="X109" s="14" t="n">
        <f aca="false">J109+L109</f>
        <v>57190.16</v>
      </c>
      <c r="Y109" s="14" t="n">
        <f aca="false">V109-U109</f>
        <v>-4785.48999999999</v>
      </c>
      <c r="Z109" s="13" t="n">
        <v>176343.79</v>
      </c>
      <c r="AA109" s="13" t="n">
        <v>39776.63</v>
      </c>
      <c r="AB109" s="13" t="n">
        <v>203343.18</v>
      </c>
      <c r="AC109" s="14" t="n">
        <f aca="false">Z109-AA109</f>
        <v>136567.16</v>
      </c>
    </row>
    <row r="110" customFormat="false" ht="15" hidden="false" customHeight="false" outlineLevel="0" collapsed="false">
      <c r="A110" s="11" t="n">
        <v>45658</v>
      </c>
      <c r="B110" s="12" t="s">
        <v>40</v>
      </c>
      <c r="C110" s="12" t="s">
        <v>41</v>
      </c>
      <c r="D110" s="12" t="n">
        <v>2025</v>
      </c>
      <c r="E110" s="12" t="s">
        <v>42</v>
      </c>
      <c r="F110" s="12" t="s">
        <v>68</v>
      </c>
      <c r="G110" s="12" t="s">
        <v>44</v>
      </c>
      <c r="H110" s="12" t="s">
        <v>69</v>
      </c>
      <c r="I110" s="13" t="n">
        <v>106109.79</v>
      </c>
      <c r="J110" s="13" t="n">
        <v>27055.07</v>
      </c>
      <c r="K110" s="14" t="n">
        <f aca="false">I110-J110</f>
        <v>79054.72</v>
      </c>
      <c r="L110" s="13" t="n">
        <v>35410.55</v>
      </c>
      <c r="M110" s="14" t="n">
        <f aca="false">K110-L110</f>
        <v>43644.17</v>
      </c>
      <c r="N110" s="13" t="n">
        <v>3395.51</v>
      </c>
      <c r="O110" s="13" t="n">
        <v>2068.49</v>
      </c>
      <c r="P110" s="13" t="n">
        <v>9163.24</v>
      </c>
      <c r="Q110" s="14" t="n">
        <f aca="false">M110-N110-O110-P110</f>
        <v>29016.93</v>
      </c>
      <c r="R110" s="15" t="n">
        <f aca="false">IFERROR(K110/I110,0)</f>
        <v>0.745027579453319</v>
      </c>
      <c r="S110" s="15" t="n">
        <f aca="false">IFERROR(M110/I110,0)</f>
        <v>0.411311435071165</v>
      </c>
      <c r="T110" s="15" t="n">
        <f aca="false">IFERROR(Q110/I110,0)</f>
        <v>0.273461383723406</v>
      </c>
      <c r="U110" s="13" t="n">
        <v>114059.54</v>
      </c>
      <c r="V110" s="14" t="n">
        <f aca="false">I110</f>
        <v>106109.79</v>
      </c>
      <c r="W110" s="13" t="n">
        <v>65013.94</v>
      </c>
      <c r="X110" s="14" t="n">
        <f aca="false">J110+L110</f>
        <v>62465.62</v>
      </c>
      <c r="Y110" s="14" t="n">
        <f aca="false">V110-U110</f>
        <v>-7949.75</v>
      </c>
      <c r="Z110" s="13" t="n">
        <v>183407.94</v>
      </c>
      <c r="AA110" s="13" t="n">
        <v>47779.27</v>
      </c>
      <c r="AB110" s="13" t="n">
        <v>204673.89</v>
      </c>
      <c r="AC110" s="14" t="n">
        <f aca="false">Z110-AA110</f>
        <v>135628.67</v>
      </c>
    </row>
    <row r="111" customFormat="false" ht="15" hidden="false" customHeight="false" outlineLevel="0" collapsed="false">
      <c r="A111" s="11" t="n">
        <v>45689</v>
      </c>
      <c r="B111" s="12" t="s">
        <v>46</v>
      </c>
      <c r="C111" s="12" t="s">
        <v>41</v>
      </c>
      <c r="D111" s="12" t="n">
        <v>2025</v>
      </c>
      <c r="E111" s="12" t="s">
        <v>42</v>
      </c>
      <c r="F111" s="12" t="s">
        <v>68</v>
      </c>
      <c r="G111" s="12" t="s">
        <v>44</v>
      </c>
      <c r="H111" s="12" t="s">
        <v>69</v>
      </c>
      <c r="I111" s="13" t="n">
        <v>130324.32</v>
      </c>
      <c r="J111" s="13" t="n">
        <v>35687.81</v>
      </c>
      <c r="K111" s="14" t="n">
        <f aca="false">I111-J111</f>
        <v>94636.51</v>
      </c>
      <c r="L111" s="13" t="n">
        <v>38042.97</v>
      </c>
      <c r="M111" s="14" t="n">
        <f aca="false">K111-L111</f>
        <v>56593.54</v>
      </c>
      <c r="N111" s="13" t="n">
        <v>4170.38</v>
      </c>
      <c r="O111" s="13" t="n">
        <v>1831.95</v>
      </c>
      <c r="P111" s="13" t="n">
        <v>12141.89</v>
      </c>
      <c r="Q111" s="14" t="n">
        <f aca="false">M111-N111-O111-P111</f>
        <v>38449.32</v>
      </c>
      <c r="R111" s="15" t="n">
        <f aca="false">IFERROR(K111/I111,0)</f>
        <v>0.726161548358741</v>
      </c>
      <c r="S111" s="15" t="n">
        <f aca="false">IFERROR(M111/I111,0)</f>
        <v>0.43425156563257</v>
      </c>
      <c r="T111" s="15" t="n">
        <f aca="false">IFERROR(Q111/I111,0)</f>
        <v>0.29502797329002</v>
      </c>
      <c r="U111" s="13" t="n">
        <v>116226.67</v>
      </c>
      <c r="V111" s="14" t="n">
        <f aca="false">I111</f>
        <v>130324.32</v>
      </c>
      <c r="W111" s="13" t="n">
        <v>66249.2</v>
      </c>
      <c r="X111" s="14" t="n">
        <f aca="false">J111+L111</f>
        <v>73730.78</v>
      </c>
      <c r="Y111" s="14" t="n">
        <f aca="false">V111-U111</f>
        <v>14097.65</v>
      </c>
      <c r="Z111" s="13" t="n">
        <v>223824.05</v>
      </c>
      <c r="AA111" s="13" t="n">
        <v>52759.05</v>
      </c>
      <c r="AB111" s="13" t="n">
        <v>208634.85</v>
      </c>
      <c r="AC111" s="14" t="n">
        <f aca="false">Z111-AA111</f>
        <v>171065</v>
      </c>
    </row>
    <row r="112" customFormat="false" ht="15" hidden="false" customHeight="false" outlineLevel="0" collapsed="false">
      <c r="A112" s="11" t="n">
        <v>45717</v>
      </c>
      <c r="B112" s="12" t="s">
        <v>47</v>
      </c>
      <c r="C112" s="12" t="s">
        <v>41</v>
      </c>
      <c r="D112" s="12" t="n">
        <v>2025</v>
      </c>
      <c r="E112" s="12" t="s">
        <v>42</v>
      </c>
      <c r="F112" s="12" t="s">
        <v>68</v>
      </c>
      <c r="G112" s="12" t="s">
        <v>44</v>
      </c>
      <c r="H112" s="12" t="s">
        <v>69</v>
      </c>
      <c r="I112" s="13" t="n">
        <v>116756.83</v>
      </c>
      <c r="J112" s="13" t="n">
        <v>29126.62</v>
      </c>
      <c r="K112" s="14" t="n">
        <f aca="false">I112-J112</f>
        <v>87630.21</v>
      </c>
      <c r="L112" s="13" t="n">
        <v>34849.67</v>
      </c>
      <c r="M112" s="14" t="n">
        <f aca="false">K112-L112</f>
        <v>52780.54</v>
      </c>
      <c r="N112" s="13" t="n">
        <v>3736.22</v>
      </c>
      <c r="O112" s="13" t="n">
        <v>3797.74</v>
      </c>
      <c r="P112" s="13" t="n">
        <v>10859.18</v>
      </c>
      <c r="Q112" s="14" t="n">
        <f aca="false">M112-N112-O112-P112</f>
        <v>34387.4</v>
      </c>
      <c r="R112" s="15" t="n">
        <f aca="false">IFERROR(K112/I112,0)</f>
        <v>0.75053605001095</v>
      </c>
      <c r="S112" s="15" t="n">
        <f aca="false">IFERROR(M112/I112,0)</f>
        <v>0.45205526734496</v>
      </c>
      <c r="T112" s="15" t="n">
        <f aca="false">IFERROR(Q112/I112,0)</f>
        <v>0.294521528205245</v>
      </c>
      <c r="U112" s="13" t="n">
        <v>118434.97</v>
      </c>
      <c r="V112" s="14" t="n">
        <f aca="false">I112</f>
        <v>116756.83</v>
      </c>
      <c r="W112" s="13" t="n">
        <v>67507.94</v>
      </c>
      <c r="X112" s="14" t="n">
        <f aca="false">J112+L112</f>
        <v>63976.29</v>
      </c>
      <c r="Y112" s="14" t="n">
        <f aca="false">V112-U112</f>
        <v>-1678.14</v>
      </c>
      <c r="Z112" s="13" t="n">
        <v>197298.39</v>
      </c>
      <c r="AA112" s="13" t="n">
        <v>46114.52</v>
      </c>
      <c r="AB112" s="13" t="n">
        <v>209464.42</v>
      </c>
      <c r="AC112" s="14" t="n">
        <f aca="false">Z112-AA112</f>
        <v>151183.87</v>
      </c>
    </row>
    <row r="113" customFormat="false" ht="15" hidden="false" customHeight="false" outlineLevel="0" collapsed="false">
      <c r="A113" s="11" t="n">
        <v>45748</v>
      </c>
      <c r="B113" s="12" t="s">
        <v>48</v>
      </c>
      <c r="C113" s="12" t="s">
        <v>49</v>
      </c>
      <c r="D113" s="12" t="n">
        <v>2025</v>
      </c>
      <c r="E113" s="12" t="s">
        <v>42</v>
      </c>
      <c r="F113" s="12" t="s">
        <v>68</v>
      </c>
      <c r="G113" s="12" t="s">
        <v>44</v>
      </c>
      <c r="H113" s="12" t="s">
        <v>69</v>
      </c>
      <c r="I113" s="13" t="n">
        <v>133509.18</v>
      </c>
      <c r="J113" s="13" t="n">
        <v>35537.88</v>
      </c>
      <c r="K113" s="14" t="n">
        <f aca="false">I113-J113</f>
        <v>97971.3</v>
      </c>
      <c r="L113" s="13" t="n">
        <v>39235.66</v>
      </c>
      <c r="M113" s="14" t="n">
        <f aca="false">K113-L113</f>
        <v>58735.64</v>
      </c>
      <c r="N113" s="13" t="n">
        <v>4272.29</v>
      </c>
      <c r="O113" s="13" t="n">
        <v>3744.54</v>
      </c>
      <c r="P113" s="13" t="n">
        <v>12172.51</v>
      </c>
      <c r="Q113" s="14" t="n">
        <f aca="false">M113-N113-O113-P113</f>
        <v>38546.3</v>
      </c>
      <c r="R113" s="15" t="n">
        <f aca="false">IFERROR(K113/I113,0)</f>
        <v>0.733816955508228</v>
      </c>
      <c r="S113" s="15" t="n">
        <f aca="false">IFERROR(M113/I113,0)</f>
        <v>0.439937088970212</v>
      </c>
      <c r="T113" s="15" t="n">
        <f aca="false">IFERROR(Q113/I113,0)</f>
        <v>0.288716476275264</v>
      </c>
      <c r="U113" s="13" t="n">
        <v>120685.24</v>
      </c>
      <c r="V113" s="14" t="n">
        <f aca="false">I113</f>
        <v>133509.18</v>
      </c>
      <c r="W113" s="13" t="n">
        <v>68790.59</v>
      </c>
      <c r="X113" s="14" t="n">
        <f aca="false">J113+L113</f>
        <v>74773.54</v>
      </c>
      <c r="Y113" s="14" t="n">
        <f aca="false">V113-U113</f>
        <v>12823.94</v>
      </c>
      <c r="Z113" s="13" t="n">
        <v>224179.98</v>
      </c>
      <c r="AA113" s="13" t="n">
        <v>54891.69</v>
      </c>
      <c r="AB113" s="13" t="n">
        <v>210626.93</v>
      </c>
      <c r="AC113" s="14" t="n">
        <f aca="false">Z113-AA113</f>
        <v>169288.29</v>
      </c>
    </row>
    <row r="114" customFormat="false" ht="15" hidden="false" customHeight="false" outlineLevel="0" collapsed="false">
      <c r="A114" s="11" t="n">
        <v>45778</v>
      </c>
      <c r="B114" s="12" t="s">
        <v>50</v>
      </c>
      <c r="C114" s="12" t="s">
        <v>49</v>
      </c>
      <c r="D114" s="12" t="n">
        <v>2025</v>
      </c>
      <c r="E114" s="12" t="s">
        <v>42</v>
      </c>
      <c r="F114" s="12" t="s">
        <v>68</v>
      </c>
      <c r="G114" s="12" t="s">
        <v>44</v>
      </c>
      <c r="H114" s="12" t="s">
        <v>69</v>
      </c>
      <c r="I114" s="13" t="n">
        <v>117740.33</v>
      </c>
      <c r="J114" s="13" t="n">
        <v>36855.47</v>
      </c>
      <c r="K114" s="14" t="n">
        <f aca="false">I114-J114</f>
        <v>80884.86</v>
      </c>
      <c r="L114" s="13" t="n">
        <v>36675.86</v>
      </c>
      <c r="M114" s="14" t="n">
        <f aca="false">K114-L114</f>
        <v>44209</v>
      </c>
      <c r="N114" s="13" t="n">
        <v>3767.69</v>
      </c>
      <c r="O114" s="13" t="n">
        <v>3724.16</v>
      </c>
      <c r="P114" s="13" t="n">
        <v>8812.12</v>
      </c>
      <c r="Q114" s="14" t="n">
        <f aca="false">M114-N114-O114-P114</f>
        <v>27905.03</v>
      </c>
      <c r="R114" s="15" t="n">
        <f aca="false">IFERROR(K114/I114,0)</f>
        <v>0.686976671459983</v>
      </c>
      <c r="S114" s="15" t="n">
        <f aca="false">IFERROR(M114/I114,0)</f>
        <v>0.375478818515287</v>
      </c>
      <c r="T114" s="15" t="n">
        <f aca="false">IFERROR(Q114/I114,0)</f>
        <v>0.23700485636485</v>
      </c>
      <c r="U114" s="13" t="n">
        <v>122978.26</v>
      </c>
      <c r="V114" s="14" t="n">
        <f aca="false">I114</f>
        <v>117740.33</v>
      </c>
      <c r="W114" s="13" t="n">
        <v>70097.61</v>
      </c>
      <c r="X114" s="14" t="n">
        <f aca="false">J114+L114</f>
        <v>73531.33</v>
      </c>
      <c r="Y114" s="14" t="n">
        <f aca="false">V114-U114</f>
        <v>-5237.92999999999</v>
      </c>
      <c r="Z114" s="13" t="n">
        <v>199879.9</v>
      </c>
      <c r="AA114" s="13" t="n">
        <v>50097.61</v>
      </c>
      <c r="AB114" s="13" t="n">
        <v>216951.12</v>
      </c>
      <c r="AC114" s="14" t="n">
        <f aca="false">Z114-AA114</f>
        <v>149782.29</v>
      </c>
    </row>
    <row r="115" customFormat="false" ht="15" hidden="false" customHeight="false" outlineLevel="0" collapsed="false">
      <c r="A115" s="11" t="n">
        <v>45809</v>
      </c>
      <c r="B115" s="12" t="s">
        <v>51</v>
      </c>
      <c r="C115" s="12" t="s">
        <v>49</v>
      </c>
      <c r="D115" s="12" t="n">
        <v>2025</v>
      </c>
      <c r="E115" s="12" t="s">
        <v>42</v>
      </c>
      <c r="F115" s="12" t="s">
        <v>68</v>
      </c>
      <c r="G115" s="12" t="s">
        <v>44</v>
      </c>
      <c r="H115" s="12" t="s">
        <v>69</v>
      </c>
      <c r="I115" s="13" t="n">
        <v>128169.56</v>
      </c>
      <c r="J115" s="13" t="n">
        <v>27773.84</v>
      </c>
      <c r="K115" s="14" t="n">
        <f aca="false">I115-J115</f>
        <v>100395.72</v>
      </c>
      <c r="L115" s="13" t="n">
        <v>38723.24</v>
      </c>
      <c r="M115" s="14" t="n">
        <f aca="false">K115-L115</f>
        <v>61672.48</v>
      </c>
      <c r="N115" s="13" t="n">
        <v>4101.43</v>
      </c>
      <c r="O115" s="13" t="n">
        <v>3864.02</v>
      </c>
      <c r="P115" s="13" t="n">
        <v>12889.69</v>
      </c>
      <c r="Q115" s="14" t="n">
        <f aca="false">M115-N115-O115-P115</f>
        <v>40817.34</v>
      </c>
      <c r="R115" s="15" t="n">
        <f aca="false">IFERROR(K115/I115,0)</f>
        <v>0.78330392957579</v>
      </c>
      <c r="S115" s="15" t="n">
        <f aca="false">IFERROR(M115/I115,0)</f>
        <v>0.481178838407497</v>
      </c>
      <c r="T115" s="15" t="n">
        <f aca="false">IFERROR(Q115/I115,0)</f>
        <v>0.318463603994583</v>
      </c>
      <c r="U115" s="13" t="n">
        <v>125314.84</v>
      </c>
      <c r="V115" s="14" t="n">
        <f aca="false">I115</f>
        <v>128169.56</v>
      </c>
      <c r="W115" s="13" t="n">
        <v>71429.46</v>
      </c>
      <c r="X115" s="14" t="n">
        <f aca="false">J115+L115</f>
        <v>66497.08</v>
      </c>
      <c r="Y115" s="14" t="n">
        <f aca="false">V115-U115</f>
        <v>2854.72</v>
      </c>
      <c r="Z115" s="13" t="n">
        <v>210461.27</v>
      </c>
      <c r="AA115" s="13" t="n">
        <v>52336.36</v>
      </c>
      <c r="AB115" s="13" t="n">
        <v>225389.82</v>
      </c>
      <c r="AC115" s="14" t="n">
        <f aca="false">Z115-AA115</f>
        <v>158124.91</v>
      </c>
    </row>
    <row r="116" customFormat="false" ht="15" hidden="false" customHeight="false" outlineLevel="0" collapsed="false">
      <c r="A116" s="11" t="n">
        <v>45839</v>
      </c>
      <c r="B116" s="12" t="s">
        <v>52</v>
      </c>
      <c r="C116" s="12" t="s">
        <v>53</v>
      </c>
      <c r="D116" s="12" t="n">
        <v>2025</v>
      </c>
      <c r="E116" s="12" t="s">
        <v>42</v>
      </c>
      <c r="F116" s="12" t="s">
        <v>68</v>
      </c>
      <c r="G116" s="12" t="s">
        <v>44</v>
      </c>
      <c r="H116" s="12" t="s">
        <v>69</v>
      </c>
      <c r="I116" s="13" t="n">
        <v>120031.38</v>
      </c>
      <c r="J116" s="13" t="n">
        <v>28720.26</v>
      </c>
      <c r="K116" s="14" t="n">
        <f aca="false">I116-J116</f>
        <v>91311.12</v>
      </c>
      <c r="L116" s="13" t="n">
        <v>38063.03</v>
      </c>
      <c r="M116" s="14" t="n">
        <f aca="false">K116-L116</f>
        <v>53248.09</v>
      </c>
      <c r="N116" s="13" t="n">
        <v>3841</v>
      </c>
      <c r="O116" s="13" t="n">
        <v>4650.35</v>
      </c>
      <c r="P116" s="13" t="n">
        <v>10741.62</v>
      </c>
      <c r="Q116" s="14" t="n">
        <f aca="false">M116-N116-O116-P116</f>
        <v>34015.12</v>
      </c>
      <c r="R116" s="15" t="n">
        <f aca="false">IFERROR(K116/I116,0)</f>
        <v>0.760727069871229</v>
      </c>
      <c r="S116" s="15" t="n">
        <f aca="false">IFERROR(M116/I116,0)</f>
        <v>0.443618077206144</v>
      </c>
      <c r="T116" s="15" t="n">
        <f aca="false">IFERROR(Q116/I116,0)</f>
        <v>0.283385228096186</v>
      </c>
      <c r="U116" s="13" t="n">
        <v>127695.83</v>
      </c>
      <c r="V116" s="14" t="n">
        <f aca="false">I116</f>
        <v>120031.38</v>
      </c>
      <c r="W116" s="13" t="n">
        <v>72786.62</v>
      </c>
      <c r="X116" s="14" t="n">
        <f aca="false">J116+L116</f>
        <v>66783.29</v>
      </c>
      <c r="Y116" s="14" t="n">
        <f aca="false">V116-U116</f>
        <v>-7664.45</v>
      </c>
      <c r="Z116" s="13" t="n">
        <v>202617.93</v>
      </c>
      <c r="AA116" s="13" t="n">
        <v>52798.01</v>
      </c>
      <c r="AB116" s="13" t="n">
        <v>223942.1</v>
      </c>
      <c r="AC116" s="14" t="n">
        <f aca="false">Z116-AA116</f>
        <v>149819.92</v>
      </c>
    </row>
    <row r="117" customFormat="false" ht="15" hidden="false" customHeight="false" outlineLevel="0" collapsed="false">
      <c r="A117" s="11" t="n">
        <v>45870</v>
      </c>
      <c r="B117" s="12" t="s">
        <v>54</v>
      </c>
      <c r="C117" s="12" t="s">
        <v>53</v>
      </c>
      <c r="D117" s="12" t="n">
        <v>2025</v>
      </c>
      <c r="E117" s="12" t="s">
        <v>42</v>
      </c>
      <c r="F117" s="12" t="s">
        <v>68</v>
      </c>
      <c r="G117" s="12" t="s">
        <v>44</v>
      </c>
      <c r="H117" s="12" t="s">
        <v>69</v>
      </c>
      <c r="I117" s="13" t="n">
        <v>125229.09</v>
      </c>
      <c r="J117" s="13" t="n">
        <v>29487.77</v>
      </c>
      <c r="K117" s="14" t="n">
        <f aca="false">I117-J117</f>
        <v>95741.32</v>
      </c>
      <c r="L117" s="13" t="n">
        <v>41552.52</v>
      </c>
      <c r="M117" s="14" t="n">
        <f aca="false">K117-L117</f>
        <v>54188.8</v>
      </c>
      <c r="N117" s="13" t="n">
        <v>4007.33</v>
      </c>
      <c r="O117" s="13" t="n">
        <v>2803.38</v>
      </c>
      <c r="P117" s="13" t="n">
        <v>11370.74</v>
      </c>
      <c r="Q117" s="14" t="n">
        <f aca="false">M117-N117-O117-P117</f>
        <v>36007.35</v>
      </c>
      <c r="R117" s="15" t="n">
        <f aca="false">IFERROR(K117/I117,0)</f>
        <v>0.764529391693256</v>
      </c>
      <c r="S117" s="15" t="n">
        <f aca="false">IFERROR(M117/I117,0)</f>
        <v>0.432717350257835</v>
      </c>
      <c r="T117" s="15" t="n">
        <f aca="false">IFERROR(Q117/I117,0)</f>
        <v>0.287531834655989</v>
      </c>
      <c r="U117" s="13" t="n">
        <v>130122.05</v>
      </c>
      <c r="V117" s="14" t="n">
        <f aca="false">I117</f>
        <v>125229.09</v>
      </c>
      <c r="W117" s="13" t="n">
        <v>74169.57</v>
      </c>
      <c r="X117" s="14" t="n">
        <f aca="false">J117+L117</f>
        <v>71040.29</v>
      </c>
      <c r="Y117" s="14" t="n">
        <f aca="false">V117-U117</f>
        <v>-4892.96000000001</v>
      </c>
      <c r="Z117" s="13" t="n">
        <v>213880.45</v>
      </c>
      <c r="AA117" s="13" t="n">
        <v>53606.3</v>
      </c>
      <c r="AB117" s="13" t="n">
        <v>222903.12</v>
      </c>
      <c r="AC117" s="14" t="n">
        <f aca="false">Z117-AA117</f>
        <v>160274.15</v>
      </c>
    </row>
    <row r="118" customFormat="false" ht="15" hidden="false" customHeight="false" outlineLevel="0" collapsed="false">
      <c r="A118" s="11" t="n">
        <v>45901</v>
      </c>
      <c r="B118" s="12" t="s">
        <v>55</v>
      </c>
      <c r="C118" s="12" t="s">
        <v>53</v>
      </c>
      <c r="D118" s="12" t="n">
        <v>2025</v>
      </c>
      <c r="E118" s="12" t="s">
        <v>42</v>
      </c>
      <c r="F118" s="12" t="s">
        <v>68</v>
      </c>
      <c r="G118" s="12" t="s">
        <v>44</v>
      </c>
      <c r="H118" s="12" t="s">
        <v>69</v>
      </c>
      <c r="I118" s="13" t="n">
        <v>138720.16</v>
      </c>
      <c r="J118" s="13" t="n">
        <v>38617.43</v>
      </c>
      <c r="K118" s="14" t="n">
        <f aca="false">I118-J118</f>
        <v>100102.73</v>
      </c>
      <c r="L118" s="13" t="n">
        <v>44168.98</v>
      </c>
      <c r="M118" s="14" t="n">
        <f aca="false">K118-L118</f>
        <v>55933.75</v>
      </c>
      <c r="N118" s="13" t="n">
        <v>4439.05</v>
      </c>
      <c r="O118" s="13" t="n">
        <v>4905.86</v>
      </c>
      <c r="P118" s="13" t="n">
        <v>11181.32</v>
      </c>
      <c r="Q118" s="14" t="n">
        <f aca="false">M118-N118-O118-P118</f>
        <v>35407.52</v>
      </c>
      <c r="R118" s="15" t="n">
        <f aca="false">IFERROR(K118/I118,0)</f>
        <v>0.72161631013113</v>
      </c>
      <c r="S118" s="15" t="n">
        <f aca="false">IFERROR(M118/I118,0)</f>
        <v>0.403212842315061</v>
      </c>
      <c r="T118" s="15" t="n">
        <f aca="false">IFERROR(Q118/I118,0)</f>
        <v>0.255244226938608</v>
      </c>
      <c r="U118" s="13" t="n">
        <v>132594.37</v>
      </c>
      <c r="V118" s="14" t="n">
        <f aca="false">I118</f>
        <v>138720.16</v>
      </c>
      <c r="W118" s="13" t="n">
        <v>75578.79</v>
      </c>
      <c r="X118" s="14" t="n">
        <f aca="false">J118+L118</f>
        <v>82786.41</v>
      </c>
      <c r="Y118" s="14" t="n">
        <f aca="false">V118-U118</f>
        <v>6125.79000000001</v>
      </c>
      <c r="Z118" s="13" t="n">
        <v>238840.8</v>
      </c>
      <c r="AA118" s="13" t="n">
        <v>57460.72</v>
      </c>
      <c r="AB118" s="13" t="n">
        <v>226106.72</v>
      </c>
      <c r="AC118" s="14" t="n">
        <f aca="false">Z118-AA118</f>
        <v>181380.08</v>
      </c>
    </row>
    <row r="119" customFormat="false" ht="15" hidden="false" customHeight="false" outlineLevel="0" collapsed="false">
      <c r="A119" s="11" t="n">
        <v>45931</v>
      </c>
      <c r="B119" s="12" t="s">
        <v>56</v>
      </c>
      <c r="C119" s="12" t="s">
        <v>57</v>
      </c>
      <c r="D119" s="12" t="n">
        <v>2025</v>
      </c>
      <c r="E119" s="12" t="s">
        <v>42</v>
      </c>
      <c r="F119" s="12" t="s">
        <v>68</v>
      </c>
      <c r="G119" s="12" t="s">
        <v>44</v>
      </c>
      <c r="H119" s="12" t="s">
        <v>69</v>
      </c>
      <c r="I119" s="13" t="n">
        <v>127513.35</v>
      </c>
      <c r="J119" s="13" t="n">
        <v>34621.92</v>
      </c>
      <c r="K119" s="14" t="n">
        <f aca="false">I119-J119</f>
        <v>92891.43</v>
      </c>
      <c r="L119" s="13" t="n">
        <v>37539.02</v>
      </c>
      <c r="M119" s="14" t="n">
        <f aca="false">K119-L119</f>
        <v>55352.41</v>
      </c>
      <c r="N119" s="13" t="n">
        <v>4080.43</v>
      </c>
      <c r="O119" s="13" t="n">
        <v>5073.84</v>
      </c>
      <c r="P119" s="13" t="n">
        <v>11087.55</v>
      </c>
      <c r="Q119" s="14" t="n">
        <f aca="false">M119-N119-O119-P119</f>
        <v>35110.59</v>
      </c>
      <c r="R119" s="15" t="n">
        <f aca="false">IFERROR(K119/I119,0)</f>
        <v>0.728483958738438</v>
      </c>
      <c r="S119" s="15" t="n">
        <f aca="false">IFERROR(M119/I119,0)</f>
        <v>0.434091097128262</v>
      </c>
      <c r="T119" s="15" t="n">
        <f aca="false">IFERROR(Q119/I119,0)</f>
        <v>0.275348345879079</v>
      </c>
      <c r="U119" s="13" t="n">
        <v>135113.66</v>
      </c>
      <c r="V119" s="14" t="n">
        <f aca="false">I119</f>
        <v>127513.35</v>
      </c>
      <c r="W119" s="13" t="n">
        <v>77014.79</v>
      </c>
      <c r="X119" s="14" t="n">
        <f aca="false">J119+L119</f>
        <v>72160.94</v>
      </c>
      <c r="Y119" s="14" t="n">
        <f aca="false">V119-U119</f>
        <v>-7600.31</v>
      </c>
      <c r="Z119" s="13" t="n">
        <v>204887.54</v>
      </c>
      <c r="AA119" s="13" t="n">
        <v>52386.95</v>
      </c>
      <c r="AB119" s="13" t="n">
        <v>228909.57</v>
      </c>
      <c r="AC119" s="14" t="n">
        <f aca="false">Z119-AA119</f>
        <v>152500.59</v>
      </c>
    </row>
    <row r="120" customFormat="false" ht="15" hidden="false" customHeight="false" outlineLevel="0" collapsed="false">
      <c r="A120" s="11" t="n">
        <v>45962</v>
      </c>
      <c r="B120" s="12" t="s">
        <v>58</v>
      </c>
      <c r="C120" s="12" t="s">
        <v>57</v>
      </c>
      <c r="D120" s="12" t="n">
        <v>2025</v>
      </c>
      <c r="E120" s="12" t="s">
        <v>42</v>
      </c>
      <c r="F120" s="12" t="s">
        <v>68</v>
      </c>
      <c r="G120" s="12" t="s">
        <v>44</v>
      </c>
      <c r="H120" s="12" t="s">
        <v>69</v>
      </c>
      <c r="I120" s="13" t="n">
        <v>145436.58</v>
      </c>
      <c r="J120" s="13" t="n">
        <v>34218.81</v>
      </c>
      <c r="K120" s="14" t="n">
        <f aca="false">I120-J120</f>
        <v>111217.77</v>
      </c>
      <c r="L120" s="13" t="n">
        <v>49579.35</v>
      </c>
      <c r="M120" s="14" t="n">
        <f aca="false">K120-L120</f>
        <v>61638.42</v>
      </c>
      <c r="N120" s="13" t="n">
        <v>4653.97</v>
      </c>
      <c r="O120" s="13" t="n">
        <v>4535.6</v>
      </c>
      <c r="P120" s="13" t="n">
        <v>12587.72</v>
      </c>
      <c r="Q120" s="14" t="n">
        <f aca="false">M120-N120-O120-P120</f>
        <v>39861.13</v>
      </c>
      <c r="R120" s="15" t="n">
        <f aca="false">IFERROR(K120/I120,0)</f>
        <v>0.764716620811628</v>
      </c>
      <c r="S120" s="15" t="n">
        <f aca="false">IFERROR(M120/I120,0)</f>
        <v>0.423816484133497</v>
      </c>
      <c r="T120" s="15" t="n">
        <f aca="false">IFERROR(Q120/I120,0)</f>
        <v>0.274079120947426</v>
      </c>
      <c r="U120" s="13" t="n">
        <v>137680.82</v>
      </c>
      <c r="V120" s="14" t="n">
        <f aca="false">I120</f>
        <v>145436.58</v>
      </c>
      <c r="W120" s="13" t="n">
        <v>78478.07</v>
      </c>
      <c r="X120" s="14" t="n">
        <f aca="false">J120+L120</f>
        <v>83798.16</v>
      </c>
      <c r="Y120" s="14" t="n">
        <f aca="false">V120-U120</f>
        <v>7755.75999999998</v>
      </c>
      <c r="Z120" s="13" t="n">
        <v>239140.76</v>
      </c>
      <c r="AA120" s="13" t="n">
        <v>68027.38</v>
      </c>
      <c r="AB120" s="13" t="n">
        <v>235481.6</v>
      </c>
      <c r="AC120" s="14" t="n">
        <f aca="false">Z120-AA120</f>
        <v>171113.38</v>
      </c>
    </row>
    <row r="121" customFormat="false" ht="15" hidden="false" customHeight="false" outlineLevel="0" collapsed="false">
      <c r="A121" s="11" t="n">
        <v>45992</v>
      </c>
      <c r="B121" s="12" t="s">
        <v>59</v>
      </c>
      <c r="C121" s="12" t="s">
        <v>57</v>
      </c>
      <c r="D121" s="12" t="n">
        <v>2025</v>
      </c>
      <c r="E121" s="12" t="s">
        <v>42</v>
      </c>
      <c r="F121" s="12" t="s">
        <v>68</v>
      </c>
      <c r="G121" s="12" t="s">
        <v>44</v>
      </c>
      <c r="H121" s="12" t="s">
        <v>69</v>
      </c>
      <c r="I121" s="13" t="n">
        <v>141132.63</v>
      </c>
      <c r="J121" s="13" t="n">
        <v>32644.2</v>
      </c>
      <c r="K121" s="14" t="n">
        <f aca="false">I121-J121</f>
        <v>108488.43</v>
      </c>
      <c r="L121" s="13" t="n">
        <v>44251.27</v>
      </c>
      <c r="M121" s="14" t="n">
        <f aca="false">K121-L121</f>
        <v>64237.16</v>
      </c>
      <c r="N121" s="13" t="n">
        <v>4516.24</v>
      </c>
      <c r="O121" s="13" t="n">
        <v>4596.22</v>
      </c>
      <c r="P121" s="13" t="n">
        <v>13229.93</v>
      </c>
      <c r="Q121" s="14" t="n">
        <f aca="false">M121-N121-O121-P121</f>
        <v>41894.77</v>
      </c>
      <c r="R121" s="15" t="n">
        <f aca="false">IFERROR(K121/I121,0)</f>
        <v>0.76869842218628</v>
      </c>
      <c r="S121" s="15" t="n">
        <f aca="false">IFERROR(M121/I121,0)</f>
        <v>0.455154559225602</v>
      </c>
      <c r="T121" s="15" t="n">
        <f aca="false">IFERROR(Q121/I121,0)</f>
        <v>0.296846802897388</v>
      </c>
      <c r="U121" s="13" t="n">
        <v>140296.75</v>
      </c>
      <c r="V121" s="14" t="n">
        <f aca="false">I121</f>
        <v>141132.63</v>
      </c>
      <c r="W121" s="13" t="n">
        <v>79969.15</v>
      </c>
      <c r="X121" s="14" t="n">
        <f aca="false">J121+L121</f>
        <v>76895.47</v>
      </c>
      <c r="Y121" s="14" t="n">
        <f aca="false">V121-U121</f>
        <v>835.880000000005</v>
      </c>
      <c r="Z121" s="13" t="n">
        <v>245577.64</v>
      </c>
      <c r="AA121" s="13" t="n">
        <v>56690.87</v>
      </c>
      <c r="AB121" s="13" t="n">
        <v>230909.62</v>
      </c>
      <c r="AC121" s="14" t="n">
        <f aca="false">Z121-AA121</f>
        <v>188886.77</v>
      </c>
    </row>
  </sheetData>
  <autoFilter ref="A1:AC1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6"/>
  </cols>
  <sheetData>
    <row r="1" customFormat="false" ht="16.15" hidden="false" customHeight="false" outlineLevel="0" collapsed="false">
      <c r="A1" s="16" t="s">
        <v>70</v>
      </c>
    </row>
    <row r="2" customFormat="false" ht="15" hidden="false" customHeight="false" outlineLevel="0" collapsed="false">
      <c r="A2" s="17" t="s">
        <v>71</v>
      </c>
    </row>
    <row r="4" customFormat="false" ht="15" hidden="false" customHeight="false" outlineLevel="0" collapsed="false">
      <c r="A4" s="18" t="s">
        <v>72</v>
      </c>
      <c r="B4" s="18"/>
      <c r="C4" s="18"/>
      <c r="D4" s="18"/>
      <c r="E4" s="18"/>
      <c r="F4" s="18"/>
    </row>
    <row r="5" customFormat="false" ht="23.85" hidden="false" customHeight="false" outlineLevel="0" collapsed="false">
      <c r="A5" s="10" t="s">
        <v>3</v>
      </c>
      <c r="B5" s="10" t="s">
        <v>73</v>
      </c>
      <c r="C5" s="10" t="s">
        <v>74</v>
      </c>
      <c r="D5" s="10" t="s">
        <v>75</v>
      </c>
      <c r="E5" s="10" t="s">
        <v>76</v>
      </c>
      <c r="F5" s="10" t="s">
        <v>77</v>
      </c>
    </row>
    <row r="6" customFormat="false" ht="15" hidden="false" customHeight="false" outlineLevel="0" collapsed="false">
      <c r="A6" s="19" t="n">
        <v>45292</v>
      </c>
      <c r="B6" s="14" t="n">
        <f aca="false">SUMIFS(Raw_Data!$I:$I,Raw_Data!$A:$A,A6)</f>
        <v>504838.69</v>
      </c>
      <c r="C6" s="14" t="n">
        <f aca="false">SUMIFS(Raw_Data!$U:$U,Raw_Data!$A:$A,A6)</f>
        <v>526000</v>
      </c>
      <c r="D6" s="14" t="n">
        <f aca="false">B6-C6</f>
        <v>-21161.31</v>
      </c>
      <c r="E6" s="15" t="n">
        <f aca="false">IFERROR(D6/C6,0)</f>
        <v>-0.0402306273764259</v>
      </c>
      <c r="F6" s="15" t="n">
        <v>0</v>
      </c>
    </row>
    <row r="7" customFormat="false" ht="15" hidden="false" customHeight="false" outlineLevel="0" collapsed="false">
      <c r="A7" s="19" t="n">
        <v>45323</v>
      </c>
      <c r="B7" s="14" t="n">
        <f aca="false">SUMIFS(Raw_Data!$I:$I,Raw_Data!$A:$A,A7)</f>
        <v>524248.16</v>
      </c>
      <c r="C7" s="14" t="n">
        <f aca="false">SUMIFS(Raw_Data!$U:$U,Raw_Data!$A:$A,A7)</f>
        <v>532823</v>
      </c>
      <c r="D7" s="14" t="n">
        <f aca="false">B7-C7</f>
        <v>-8574.83999999997</v>
      </c>
      <c r="E7" s="15" t="n">
        <f aca="false">IFERROR(D7/C7,0)</f>
        <v>-0.0160932242039101</v>
      </c>
      <c r="F7" s="15" t="n">
        <f aca="false">IFERROR((B7-B6)/B6,0)</f>
        <v>0.0384468749809965</v>
      </c>
    </row>
    <row r="8" customFormat="false" ht="15" hidden="false" customHeight="false" outlineLevel="0" collapsed="false">
      <c r="A8" s="19" t="n">
        <v>45352</v>
      </c>
      <c r="B8" s="14" t="n">
        <f aca="false">SUMIFS(Raw_Data!$I:$I,Raw_Data!$A:$A,A8)</f>
        <v>525250.21</v>
      </c>
      <c r="C8" s="14" t="n">
        <f aca="false">SUMIFS(Raw_Data!$U:$U,Raw_Data!$A:$A,A8)</f>
        <v>539740.74</v>
      </c>
      <c r="D8" s="14" t="n">
        <f aca="false">B8-C8</f>
        <v>-14490.5299999999</v>
      </c>
      <c r="E8" s="15" t="n">
        <f aca="false">IFERROR(D8/C8,0)</f>
        <v>-0.0268472044559762</v>
      </c>
      <c r="F8" s="15" t="n">
        <f aca="false">IFERROR((B8-B7)/B7,0)</f>
        <v>0.00191140394274354</v>
      </c>
    </row>
    <row r="9" customFormat="false" ht="15" hidden="false" customHeight="false" outlineLevel="0" collapsed="false">
      <c r="A9" s="19" t="n">
        <v>45383</v>
      </c>
      <c r="B9" s="14" t="n">
        <f aca="false">SUMIFS(Raw_Data!$I:$I,Raw_Data!$A:$A,A9)</f>
        <v>532310.19</v>
      </c>
      <c r="C9" s="14" t="n">
        <f aca="false">SUMIFS(Raw_Data!$U:$U,Raw_Data!$A:$A,A9)</f>
        <v>546754.65</v>
      </c>
      <c r="D9" s="14" t="n">
        <f aca="false">B9-C9</f>
        <v>-14444.4600000001</v>
      </c>
      <c r="E9" s="15" t="n">
        <f aca="false">IFERROR(D9/C9,0)</f>
        <v>-0.0264185407476646</v>
      </c>
      <c r="F9" s="15" t="n">
        <f aca="false">IFERROR((B9-B8)/B8,0)</f>
        <v>0.0134411750163791</v>
      </c>
    </row>
    <row r="10" customFormat="false" ht="15" hidden="false" customHeight="false" outlineLevel="0" collapsed="false">
      <c r="A10" s="19" t="n">
        <v>45413</v>
      </c>
      <c r="B10" s="14" t="n">
        <f aca="false">SUMIFS(Raw_Data!$I:$I,Raw_Data!$A:$A,A10)</f>
        <v>566263.09</v>
      </c>
      <c r="C10" s="14" t="n">
        <f aca="false">SUMIFS(Raw_Data!$U:$U,Raw_Data!$A:$A,A10)</f>
        <v>553866.1</v>
      </c>
      <c r="D10" s="14" t="n">
        <f aca="false">B10-C10</f>
        <v>12396.99</v>
      </c>
      <c r="E10" s="15" t="n">
        <f aca="false">IFERROR(D10/C10,0)</f>
        <v>0.0223826480804656</v>
      </c>
      <c r="F10" s="15" t="n">
        <f aca="false">IFERROR((B10-B9)/B9,0)</f>
        <v>0.0637840504236825</v>
      </c>
    </row>
    <row r="11" customFormat="false" ht="15" hidden="false" customHeight="false" outlineLevel="0" collapsed="false">
      <c r="A11" s="19" t="n">
        <v>45444</v>
      </c>
      <c r="B11" s="14" t="n">
        <f aca="false">SUMIFS(Raw_Data!$I:$I,Raw_Data!$A:$A,A11)</f>
        <v>564664.02</v>
      </c>
      <c r="C11" s="14" t="n">
        <f aca="false">SUMIFS(Raw_Data!$U:$U,Raw_Data!$A:$A,A11)</f>
        <v>561076.56</v>
      </c>
      <c r="D11" s="14" t="n">
        <f aca="false">B11-C11</f>
        <v>3587.46000000008</v>
      </c>
      <c r="E11" s="15" t="n">
        <f aca="false">IFERROR(D11/C11,0)</f>
        <v>0.00639388678079883</v>
      </c>
      <c r="F11" s="15" t="n">
        <f aca="false">IFERROR((B11-B10)/B10,0)</f>
        <v>-0.00282389939983542</v>
      </c>
    </row>
    <row r="12" customFormat="false" ht="15" hidden="false" customHeight="false" outlineLevel="0" collapsed="false">
      <c r="A12" s="19" t="n">
        <v>45474</v>
      </c>
      <c r="B12" s="14" t="n">
        <f aca="false">SUMIFS(Raw_Data!$I:$I,Raw_Data!$A:$A,A12)</f>
        <v>548537.48</v>
      </c>
      <c r="C12" s="14" t="n">
        <f aca="false">SUMIFS(Raw_Data!$U:$U,Raw_Data!$A:$A,A12)</f>
        <v>568387.51</v>
      </c>
      <c r="D12" s="14" t="n">
        <f aca="false">B12-C12</f>
        <v>-19850.03</v>
      </c>
      <c r="E12" s="15" t="n">
        <f aca="false">IFERROR(D12/C12,0)</f>
        <v>-0.0349234099109603</v>
      </c>
      <c r="F12" s="15" t="n">
        <f aca="false">IFERROR((B12-B11)/B11,0)</f>
        <v>-0.0285595317371205</v>
      </c>
    </row>
    <row r="13" customFormat="false" ht="15" hidden="false" customHeight="false" outlineLevel="0" collapsed="false">
      <c r="A13" s="19" t="n">
        <v>45505</v>
      </c>
      <c r="B13" s="14" t="n">
        <f aca="false">SUMIFS(Raw_Data!$I:$I,Raw_Data!$A:$A,A13)</f>
        <v>578593.82</v>
      </c>
      <c r="C13" s="14" t="n">
        <f aca="false">SUMIFS(Raw_Data!$U:$U,Raw_Data!$A:$A,A13)</f>
        <v>575800.41</v>
      </c>
      <c r="D13" s="14" t="n">
        <f aca="false">B13-C13</f>
        <v>2793.41000000003</v>
      </c>
      <c r="E13" s="15" t="n">
        <f aca="false">IFERROR(D13/C13,0)</f>
        <v>0.00485135118260863</v>
      </c>
      <c r="F13" s="15" t="n">
        <f aca="false">IFERROR((B13-B12)/B12,0)</f>
        <v>0.0547935940493986</v>
      </c>
    </row>
    <row r="14" customFormat="false" ht="15" hidden="false" customHeight="false" outlineLevel="0" collapsed="false">
      <c r="A14" s="19" t="n">
        <v>45536</v>
      </c>
      <c r="B14" s="14" t="n">
        <f aca="false">SUMIFS(Raw_Data!$I:$I,Raw_Data!$A:$A,A14)</f>
        <v>589255.99</v>
      </c>
      <c r="C14" s="14" t="n">
        <f aca="false">SUMIFS(Raw_Data!$U:$U,Raw_Data!$A:$A,A14)</f>
        <v>583316.78</v>
      </c>
      <c r="D14" s="14" t="n">
        <f aca="false">B14-C14</f>
        <v>5939.20999999996</v>
      </c>
      <c r="E14" s="15" t="n">
        <f aca="false">IFERROR(D14/C14,0)</f>
        <v>0.0101817917873029</v>
      </c>
      <c r="F14" s="15" t="n">
        <f aca="false">IFERROR((B14-B13)/B13,0)</f>
        <v>0.0184277287994537</v>
      </c>
    </row>
    <row r="15" customFormat="false" ht="15" hidden="false" customHeight="false" outlineLevel="0" collapsed="false">
      <c r="A15" s="19" t="n">
        <v>45566</v>
      </c>
      <c r="B15" s="14" t="n">
        <f aca="false">SUMIFS(Raw_Data!$I:$I,Raw_Data!$A:$A,A15)</f>
        <v>566698.07</v>
      </c>
      <c r="C15" s="14" t="n">
        <f aca="false">SUMIFS(Raw_Data!$U:$U,Raw_Data!$A:$A,A15)</f>
        <v>590938.16</v>
      </c>
      <c r="D15" s="14" t="n">
        <f aca="false">B15-C15</f>
        <v>-24240.09</v>
      </c>
      <c r="E15" s="15" t="n">
        <f aca="false">IFERROR(D15/C15,0)</f>
        <v>-0.0410196728537551</v>
      </c>
      <c r="F15" s="15" t="n">
        <f aca="false">IFERROR((B15-B14)/B14,0)</f>
        <v>-0.0382820376590485</v>
      </c>
    </row>
    <row r="16" customFormat="false" ht="15" hidden="false" customHeight="false" outlineLevel="0" collapsed="false">
      <c r="A16" s="19" t="n">
        <v>45597</v>
      </c>
      <c r="B16" s="14" t="n">
        <f aca="false">SUMIFS(Raw_Data!$I:$I,Raw_Data!$A:$A,A16)</f>
        <v>582586.05</v>
      </c>
      <c r="C16" s="14" t="n">
        <f aca="false">SUMIFS(Raw_Data!$U:$U,Raw_Data!$A:$A,A16)</f>
        <v>598666.1</v>
      </c>
      <c r="D16" s="14" t="n">
        <f aca="false">B16-C16</f>
        <v>-16080.0499999999</v>
      </c>
      <c r="E16" s="15" t="n">
        <f aca="false">IFERROR(D16/C16,0)</f>
        <v>-0.0268597971390061</v>
      </c>
      <c r="F16" s="15" t="n">
        <f aca="false">IFERROR((B16-B15)/B15,0)</f>
        <v>0.0280360580723347</v>
      </c>
    </row>
    <row r="17" customFormat="false" ht="15" hidden="false" customHeight="false" outlineLevel="0" collapsed="false">
      <c r="A17" s="19" t="n">
        <v>45627</v>
      </c>
      <c r="B17" s="14" t="n">
        <f aca="false">SUMIFS(Raw_Data!$I:$I,Raw_Data!$A:$A,A17)</f>
        <v>621348.63</v>
      </c>
      <c r="C17" s="14" t="n">
        <f aca="false">SUMIFS(Raw_Data!$U:$U,Raw_Data!$A:$A,A17)</f>
        <v>606502.2</v>
      </c>
      <c r="D17" s="14" t="n">
        <f aca="false">B17-C17</f>
        <v>14846.4299999999</v>
      </c>
      <c r="E17" s="15" t="n">
        <f aca="false">IFERROR(D17/C17,0)</f>
        <v>0.0244787735312418</v>
      </c>
      <c r="F17" s="15" t="n">
        <f aca="false">IFERROR((B17-B16)/B16,0)</f>
        <v>0.0665353727573806</v>
      </c>
    </row>
    <row r="18" customFormat="false" ht="15" hidden="false" customHeight="false" outlineLevel="0" collapsed="false">
      <c r="A18" s="19" t="n">
        <v>45658</v>
      </c>
      <c r="B18" s="14" t="n">
        <f aca="false">SUMIFS(Raw_Data!$I:$I,Raw_Data!$A:$A,A18)</f>
        <v>581590.94</v>
      </c>
      <c r="C18" s="14" t="n">
        <f aca="false">SUMIFS(Raw_Data!$U:$U,Raw_Data!$A:$A,A18)</f>
        <v>614448.06</v>
      </c>
      <c r="D18" s="14" t="n">
        <f aca="false">B18-C18</f>
        <v>-32857.12</v>
      </c>
      <c r="E18" s="15" t="n">
        <f aca="false">IFERROR(D18/C18,0)</f>
        <v>-0.0534742025225045</v>
      </c>
      <c r="F18" s="15" t="n">
        <f aca="false">IFERROR((B18-B17)/B17,0)</f>
        <v>-0.0639861232171703</v>
      </c>
    </row>
    <row r="19" customFormat="false" ht="15" hidden="false" customHeight="false" outlineLevel="0" collapsed="false">
      <c r="A19" s="19" t="n">
        <v>45689</v>
      </c>
      <c r="B19" s="14" t="n">
        <f aca="false">SUMIFS(Raw_Data!$I:$I,Raw_Data!$A:$A,A19)</f>
        <v>660368.68</v>
      </c>
      <c r="C19" s="14" t="n">
        <f aca="false">SUMIFS(Raw_Data!$U:$U,Raw_Data!$A:$A,A19)</f>
        <v>622505.3</v>
      </c>
      <c r="D19" s="14" t="n">
        <f aca="false">B19-C19</f>
        <v>37863.3800000001</v>
      </c>
      <c r="E19" s="15" t="n">
        <f aca="false">IFERROR(D19/C19,0)</f>
        <v>0.0608241889667447</v>
      </c>
      <c r="F19" s="15" t="n">
        <f aca="false">IFERROR((B19-B18)/B18,0)</f>
        <v>0.13545214442302</v>
      </c>
    </row>
    <row r="20" customFormat="false" ht="15" hidden="false" customHeight="false" outlineLevel="0" collapsed="false">
      <c r="A20" s="19" t="n">
        <v>45717</v>
      </c>
      <c r="B20" s="14" t="n">
        <f aca="false">SUMIFS(Raw_Data!$I:$I,Raw_Data!$A:$A,A20)</f>
        <v>644227.84</v>
      </c>
      <c r="C20" s="14" t="n">
        <f aca="false">SUMIFS(Raw_Data!$U:$U,Raw_Data!$A:$A,A20)</f>
        <v>630675.59</v>
      </c>
      <c r="D20" s="14" t="n">
        <f aca="false">B20-C20</f>
        <v>13552.25</v>
      </c>
      <c r="E20" s="15" t="n">
        <f aca="false">IFERROR(D20/C20,0)</f>
        <v>0.0214884644576144</v>
      </c>
      <c r="F20" s="15" t="n">
        <f aca="false">IFERROR((B20-B19)/B19,0)</f>
        <v>-0.0244421646405158</v>
      </c>
    </row>
    <row r="21" customFormat="false" ht="15" hidden="false" customHeight="false" outlineLevel="0" collapsed="false">
      <c r="A21" s="19" t="n">
        <v>45748</v>
      </c>
      <c r="B21" s="14" t="n">
        <f aca="false">SUMIFS(Raw_Data!$I:$I,Raw_Data!$A:$A,A21)</f>
        <v>646964.36</v>
      </c>
      <c r="C21" s="14" t="n">
        <f aca="false">SUMIFS(Raw_Data!$U:$U,Raw_Data!$A:$A,A21)</f>
        <v>638960.61</v>
      </c>
      <c r="D21" s="14" t="n">
        <f aca="false">B21-C21</f>
        <v>8003.75</v>
      </c>
      <c r="E21" s="15" t="n">
        <f aca="false">IFERROR(D21/C21,0)</f>
        <v>0.0125262025150502</v>
      </c>
      <c r="F21" s="15" t="n">
        <f aca="false">IFERROR((B21-B20)/B20,0)</f>
        <v>0.00424775185127054</v>
      </c>
    </row>
    <row r="22" customFormat="false" ht="15" hidden="false" customHeight="false" outlineLevel="0" collapsed="false">
      <c r="A22" s="19" t="n">
        <v>45778</v>
      </c>
      <c r="B22" s="14" t="n">
        <f aca="false">SUMIFS(Raw_Data!$I:$I,Raw_Data!$A:$A,A22)</f>
        <v>653692.22</v>
      </c>
      <c r="C22" s="14" t="n">
        <f aca="false">SUMIFS(Raw_Data!$U:$U,Raw_Data!$A:$A,A22)</f>
        <v>647362.09</v>
      </c>
      <c r="D22" s="14" t="n">
        <f aca="false">B22-C22</f>
        <v>6330.13000000001</v>
      </c>
      <c r="E22" s="15" t="n">
        <f aca="false">IFERROR(D22/C22,0)</f>
        <v>0.00977834522253227</v>
      </c>
      <c r="F22" s="15" t="n">
        <f aca="false">IFERROR((B22-B21)/B21,0)</f>
        <v>0.0103991199762534</v>
      </c>
    </row>
    <row r="23" customFormat="false" ht="15" hidden="false" customHeight="false" outlineLevel="0" collapsed="false">
      <c r="A23" s="19" t="n">
        <v>45809</v>
      </c>
      <c r="B23" s="14" t="n">
        <f aca="false">SUMIFS(Raw_Data!$I:$I,Raw_Data!$A:$A,A23)</f>
        <v>649479.01</v>
      </c>
      <c r="C23" s="14" t="n">
        <f aca="false">SUMIFS(Raw_Data!$U:$U,Raw_Data!$A:$A,A23)</f>
        <v>655881.72</v>
      </c>
      <c r="D23" s="14" t="n">
        <f aca="false">B23-C23</f>
        <v>-6402.70999999996</v>
      </c>
      <c r="E23" s="15" t="n">
        <f aca="false">IFERROR(D23/C23,0)</f>
        <v>-0.00976198879273532</v>
      </c>
      <c r="F23" s="15" t="n">
        <f aca="false">IFERROR((B23-B22)/B22,0)</f>
        <v>-0.00644525033508883</v>
      </c>
    </row>
    <row r="24" customFormat="false" ht="15" hidden="false" customHeight="false" outlineLevel="0" collapsed="false">
      <c r="A24" s="19" t="n">
        <v>45839</v>
      </c>
      <c r="B24" s="14" t="n">
        <f aca="false">SUMIFS(Raw_Data!$I:$I,Raw_Data!$A:$A,A24)</f>
        <v>662175.02</v>
      </c>
      <c r="C24" s="14" t="n">
        <f aca="false">SUMIFS(Raw_Data!$U:$U,Raw_Data!$A:$A,A24)</f>
        <v>664521.32</v>
      </c>
      <c r="D24" s="14" t="n">
        <f aca="false">B24-C24</f>
        <v>-2346.30000000005</v>
      </c>
      <c r="E24" s="15" t="n">
        <f aca="false">IFERROR(D24/C24,0)</f>
        <v>-0.00353081222435429</v>
      </c>
      <c r="F24" s="15" t="n">
        <f aca="false">IFERROR((B24-B23)/B23,0)</f>
        <v>0.0195479912430119</v>
      </c>
    </row>
    <row r="25" customFormat="false" ht="15" hidden="false" customHeight="false" outlineLevel="0" collapsed="false">
      <c r="A25" s="19" t="n">
        <v>45870</v>
      </c>
      <c r="B25" s="14" t="n">
        <f aca="false">SUMIFS(Raw_Data!$I:$I,Raw_Data!$A:$A,A25)</f>
        <v>656380.77</v>
      </c>
      <c r="C25" s="14" t="n">
        <f aca="false">SUMIFS(Raw_Data!$U:$U,Raw_Data!$A:$A,A25)</f>
        <v>673282.67</v>
      </c>
      <c r="D25" s="14" t="n">
        <f aca="false">B25-C25</f>
        <v>-16901.9</v>
      </c>
      <c r="E25" s="15" t="n">
        <f aca="false">IFERROR(D25/C25,0)</f>
        <v>-0.0251037205517261</v>
      </c>
      <c r="F25" s="15" t="n">
        <f aca="false">IFERROR((B25-B24)/B24,0)</f>
        <v>-0.00875033008644754</v>
      </c>
    </row>
    <row r="26" customFormat="false" ht="15" hidden="false" customHeight="false" outlineLevel="0" collapsed="false">
      <c r="A26" s="19" t="n">
        <v>45901</v>
      </c>
      <c r="B26" s="14" t="n">
        <f aca="false">SUMIFS(Raw_Data!$I:$I,Raw_Data!$A:$A,A26)</f>
        <v>669244.23</v>
      </c>
      <c r="C26" s="14" t="n">
        <f aca="false">SUMIFS(Raw_Data!$U:$U,Raw_Data!$A:$A,A26)</f>
        <v>682167.56</v>
      </c>
      <c r="D26" s="14" t="n">
        <f aca="false">B26-C26</f>
        <v>-12923.3300000001</v>
      </c>
      <c r="E26" s="15" t="n">
        <f aca="false">IFERROR(D26/C26,0)</f>
        <v>-0.0189445097623817</v>
      </c>
      <c r="F26" s="15" t="n">
        <f aca="false">IFERROR((B26-B25)/B25,0)</f>
        <v>0.0195975576798205</v>
      </c>
    </row>
    <row r="27" customFormat="false" ht="15" hidden="false" customHeight="false" outlineLevel="0" collapsed="false">
      <c r="A27" s="19" t="n">
        <v>45931</v>
      </c>
      <c r="B27" s="14" t="n">
        <f aca="false">SUMIFS(Raw_Data!$I:$I,Raw_Data!$A:$A,A27)</f>
        <v>684185.2</v>
      </c>
      <c r="C27" s="14" t="n">
        <f aca="false">SUMIFS(Raw_Data!$U:$U,Raw_Data!$A:$A,A27)</f>
        <v>691177.87</v>
      </c>
      <c r="D27" s="14" t="n">
        <f aca="false">B27-C27</f>
        <v>-6992.67000000004</v>
      </c>
      <c r="E27" s="15" t="n">
        <f aca="false">IFERROR(D27/C27,0)</f>
        <v>-0.0101170339843202</v>
      </c>
      <c r="F27" s="15" t="n">
        <f aca="false">IFERROR((B27-B26)/B26,0)</f>
        <v>0.0223251383131088</v>
      </c>
    </row>
    <row r="28" customFormat="false" ht="15" hidden="false" customHeight="false" outlineLevel="0" collapsed="false">
      <c r="A28" s="19" t="n">
        <v>45962</v>
      </c>
      <c r="B28" s="14" t="n">
        <f aca="false">SUMIFS(Raw_Data!$I:$I,Raw_Data!$A:$A,A28)</f>
        <v>674913.09</v>
      </c>
      <c r="C28" s="14" t="n">
        <f aca="false">SUMIFS(Raw_Data!$U:$U,Raw_Data!$A:$A,A28)</f>
        <v>700315.47</v>
      </c>
      <c r="D28" s="14" t="n">
        <f aca="false">B28-C28</f>
        <v>-25402.38</v>
      </c>
      <c r="E28" s="15" t="n">
        <f aca="false">IFERROR(D28/C28,0)</f>
        <v>-0.0362727671859084</v>
      </c>
      <c r="F28" s="15" t="n">
        <f aca="false">IFERROR((B28-B27)/B27,0)</f>
        <v>-0.0135520470188481</v>
      </c>
    </row>
    <row r="29" customFormat="false" ht="15" hidden="false" customHeight="false" outlineLevel="0" collapsed="false">
      <c r="A29" s="19" t="n">
        <v>45992</v>
      </c>
      <c r="B29" s="14" t="n">
        <f aca="false">SUMIFS(Raw_Data!$I:$I,Raw_Data!$A:$A,A29)</f>
        <v>714236.57</v>
      </c>
      <c r="C29" s="14" t="n">
        <f aca="false">SUMIFS(Raw_Data!$U:$U,Raw_Data!$A:$A,A29)</f>
        <v>709582.28</v>
      </c>
      <c r="D29" s="14" t="n">
        <f aca="false">B29-C29</f>
        <v>4654.29000000004</v>
      </c>
      <c r="E29" s="15" t="n">
        <f aca="false">IFERROR(D29/C29,0)</f>
        <v>0.00655919705322974</v>
      </c>
      <c r="F29" s="15" t="n">
        <f aca="false">IFERROR((B29-B28)/B28,0)</f>
        <v>0.0582645092866699</v>
      </c>
    </row>
    <row r="32" customFormat="false" ht="15" hidden="false" customHeight="false" outlineLevel="0" collapsed="false">
      <c r="A32" s="18" t="s">
        <v>78</v>
      </c>
      <c r="B32" s="18"/>
      <c r="C32" s="18"/>
    </row>
    <row r="33" customFormat="false" ht="15" hidden="false" customHeight="false" outlineLevel="0" collapsed="false">
      <c r="A33" s="10" t="s">
        <v>6</v>
      </c>
      <c r="B33" s="10" t="s">
        <v>79</v>
      </c>
      <c r="C33" s="10" t="s">
        <v>80</v>
      </c>
    </row>
    <row r="34" customFormat="false" ht="15" hidden="false" customHeight="false" outlineLevel="0" collapsed="false">
      <c r="A34" s="12" t="s">
        <v>43</v>
      </c>
      <c r="B34" s="14" t="n">
        <f aca="false">SUMIFS(Raw_Data!$I:$I,Raw_Data!$F:$F,A34)</f>
        <v>6881817.03</v>
      </c>
      <c r="C34" s="15" t="n">
        <f aca="false">IFERROR(B34/SUM($B$34:$B$36),0)</f>
        <v>0.471291081176395</v>
      </c>
    </row>
    <row r="35" customFormat="false" ht="15" hidden="false" customHeight="false" outlineLevel="0" collapsed="false">
      <c r="A35" s="12" t="s">
        <v>63</v>
      </c>
      <c r="B35" s="14" t="n">
        <f aca="false">SUMIFS(Raw_Data!$I:$I,Raw_Data!$F:$F,A35)</f>
        <v>5009856.76</v>
      </c>
      <c r="C35" s="15" t="n">
        <f aca="false">IFERROR(B35/SUM($B$34:$B$36),0)</f>
        <v>0.343092645251464</v>
      </c>
    </row>
    <row r="36" customFormat="false" ht="15" hidden="false" customHeight="false" outlineLevel="0" collapsed="false">
      <c r="A36" s="12" t="s">
        <v>68</v>
      </c>
      <c r="B36" s="14" t="n">
        <f aca="false">SUMIFS(Raw_Data!$I:$I,Raw_Data!$F:$F,A36)</f>
        <v>2710378.54</v>
      </c>
      <c r="C36" s="15" t="n">
        <f aca="false">IFERROR(B36/SUM($B$34:$B$36),0)</f>
        <v>0.185616273572141</v>
      </c>
    </row>
    <row r="39" customFormat="false" ht="15" hidden="false" customHeight="false" outlineLevel="0" collapsed="false">
      <c r="A39" s="18" t="s">
        <v>81</v>
      </c>
      <c r="B39" s="18"/>
      <c r="C39" s="18"/>
    </row>
    <row r="40" customFormat="false" ht="15" hidden="false" customHeight="false" outlineLevel="0" collapsed="false">
      <c r="A40" s="10" t="s">
        <v>82</v>
      </c>
      <c r="B40" s="10" t="s">
        <v>79</v>
      </c>
      <c r="C40" s="10" t="s">
        <v>80</v>
      </c>
    </row>
    <row r="41" customFormat="false" ht="15" hidden="false" customHeight="false" outlineLevel="0" collapsed="false">
      <c r="A41" s="12" t="s">
        <v>44</v>
      </c>
      <c r="B41" s="14" t="n">
        <f aca="false">SUMIFS(Raw_Data!$I:$I,Raw_Data!$G:$G,A41)</f>
        <v>11765539.8</v>
      </c>
      <c r="C41" s="15" t="n">
        <f aca="false">IFERROR(B41/SUM($B$41:$B$43),0)</f>
        <v>0.805745626306765</v>
      </c>
    </row>
    <row r="42" customFormat="false" ht="15" hidden="false" customHeight="false" outlineLevel="0" collapsed="false">
      <c r="A42" s="12" t="s">
        <v>61</v>
      </c>
      <c r="B42" s="14" t="n">
        <f aca="false">SUMIFS(Raw_Data!$I:$I,Raw_Data!$G:$G,A42)</f>
        <v>1644913.7</v>
      </c>
      <c r="C42" s="15" t="n">
        <f aca="false">IFERROR(B42/SUM($B$41:$B$43),0)</f>
        <v>0.112649486717735</v>
      </c>
    </row>
    <row r="43" customFormat="false" ht="15" hidden="false" customHeight="false" outlineLevel="0" collapsed="false">
      <c r="A43" s="12" t="s">
        <v>66</v>
      </c>
      <c r="B43" s="14" t="n">
        <f aca="false">SUMIFS(Raw_Data!$I:$I,Raw_Data!$G:$G,A43)</f>
        <v>1191598.83</v>
      </c>
      <c r="C43" s="15" t="n">
        <f aca="false">IFERROR(B43/SUM($B$41:$B$43),0)</f>
        <v>0.0816048869755009</v>
      </c>
    </row>
    <row r="46" customFormat="false" ht="15" hidden="false" customHeight="false" outlineLevel="0" collapsed="false">
      <c r="A46" s="18" t="s">
        <v>83</v>
      </c>
      <c r="B46" s="18"/>
      <c r="C46" s="18"/>
    </row>
    <row r="47" customFormat="false" ht="15" hidden="false" customHeight="false" outlineLevel="0" collapsed="false">
      <c r="A47" s="10" t="s">
        <v>17</v>
      </c>
      <c r="B47" s="10" t="s">
        <v>79</v>
      </c>
      <c r="C47" s="10" t="s">
        <v>80</v>
      </c>
    </row>
    <row r="48" customFormat="false" ht="15" hidden="false" customHeight="false" outlineLevel="0" collapsed="false">
      <c r="A48" s="12" t="s">
        <v>42</v>
      </c>
      <c r="B48" s="14" t="n">
        <f aca="false">SUMIFS(Raw_Data!$I:$I,Raw_Data!$E:$E,A48)</f>
        <v>11765539.8</v>
      </c>
      <c r="C48" s="15" t="n">
        <f aca="false">IFERROR(B48/SUM($B$48:$B$50),0)</f>
        <v>0.805745626306765</v>
      </c>
    </row>
    <row r="49" customFormat="false" ht="15" hidden="false" customHeight="false" outlineLevel="0" collapsed="false">
      <c r="A49" s="12" t="s">
        <v>60</v>
      </c>
      <c r="B49" s="14" t="n">
        <f aca="false">SUMIFS(Raw_Data!$I:$I,Raw_Data!$E:$E,A49)</f>
        <v>1644913.7</v>
      </c>
      <c r="C49" s="15" t="n">
        <f aca="false">IFERROR(B49/SUM($B$48:$B$50),0)</f>
        <v>0.112649486717735</v>
      </c>
    </row>
    <row r="50" customFormat="false" ht="15" hidden="false" customHeight="false" outlineLevel="0" collapsed="false">
      <c r="A50" s="12" t="s">
        <v>65</v>
      </c>
      <c r="B50" s="14" t="n">
        <f aca="false">SUMIFS(Raw_Data!$I:$I,Raw_Data!$E:$E,A50)</f>
        <v>1191598.83</v>
      </c>
      <c r="C50" s="15" t="n">
        <f aca="false">IFERROR(B50/SUM($B$48:$B$50),0)</f>
        <v>0.0816048869755009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8"/>
  </cols>
  <sheetData>
    <row r="1" customFormat="false" ht="16.15" hidden="false" customHeight="false" outlineLevel="0" collapsed="false">
      <c r="A1" s="16" t="s">
        <v>84</v>
      </c>
    </row>
    <row r="3" customFormat="false" ht="15" hidden="false" customHeight="false" outlineLevel="0" collapsed="false">
      <c r="A3" s="18" t="s">
        <v>85</v>
      </c>
      <c r="B3" s="18"/>
      <c r="C3" s="18"/>
      <c r="D3" s="18"/>
      <c r="E3" s="18"/>
    </row>
    <row r="4" customFormat="false" ht="23.85" hidden="false" customHeight="false" outlineLevel="0" collapsed="false">
      <c r="A4" s="10" t="s">
        <v>3</v>
      </c>
      <c r="B4" s="10" t="s">
        <v>21</v>
      </c>
      <c r="C4" s="10" t="s">
        <v>86</v>
      </c>
      <c r="D4" s="10" t="s">
        <v>87</v>
      </c>
      <c r="E4" s="10" t="s">
        <v>88</v>
      </c>
    </row>
    <row r="5" customFormat="false" ht="15" hidden="false" customHeight="false" outlineLevel="0" collapsed="false">
      <c r="A5" s="19" t="n">
        <v>45292</v>
      </c>
      <c r="B5" s="14" t="n">
        <f aca="false">SUMIFS(Raw_Data!$J:$J,Raw_Data!$A:$A,A5)</f>
        <v>142492.09</v>
      </c>
      <c r="C5" s="14" t="n">
        <f aca="false">SUMIFS(Raw_Data!$L:$L,Raw_Data!$A:$A,A5)</f>
        <v>158788.22</v>
      </c>
      <c r="D5" s="14" t="n">
        <f aca="false">B5+C5</f>
        <v>301280.31</v>
      </c>
      <c r="E5" s="15" t="n">
        <v>0</v>
      </c>
    </row>
    <row r="6" customFormat="false" ht="15" hidden="false" customHeight="false" outlineLevel="0" collapsed="false">
      <c r="A6" s="19" t="n">
        <v>45323</v>
      </c>
      <c r="B6" s="14" t="n">
        <f aca="false">SUMIFS(Raw_Data!$J:$J,Raw_Data!$A:$A,A6)</f>
        <v>141711.32</v>
      </c>
      <c r="C6" s="14" t="n">
        <f aca="false">SUMIFS(Raw_Data!$L:$L,Raw_Data!$A:$A,A6)</f>
        <v>162559.7</v>
      </c>
      <c r="D6" s="14" t="n">
        <f aca="false">B6+C6</f>
        <v>304271.02</v>
      </c>
      <c r="E6" s="15" t="n">
        <f aca="false">IFERROR((D6-D5)/D5,0)</f>
        <v>0.00992666928681805</v>
      </c>
    </row>
    <row r="7" customFormat="false" ht="15" hidden="false" customHeight="false" outlineLevel="0" collapsed="false">
      <c r="A7" s="19" t="n">
        <v>45352</v>
      </c>
      <c r="B7" s="14" t="n">
        <f aca="false">SUMIFS(Raw_Data!$J:$J,Raw_Data!$A:$A,A7)</f>
        <v>140888.49</v>
      </c>
      <c r="C7" s="14" t="n">
        <f aca="false">SUMIFS(Raw_Data!$L:$L,Raw_Data!$A:$A,A7)</f>
        <v>163970.68</v>
      </c>
      <c r="D7" s="14" t="n">
        <f aca="false">B7+C7</f>
        <v>304859.17</v>
      </c>
      <c r="E7" s="15" t="n">
        <f aca="false">IFERROR((D7-D6)/D6,0)</f>
        <v>0.00193298066966734</v>
      </c>
    </row>
    <row r="8" customFormat="false" ht="15" hidden="false" customHeight="false" outlineLevel="0" collapsed="false">
      <c r="A8" s="19" t="n">
        <v>45383</v>
      </c>
      <c r="B8" s="14" t="n">
        <f aca="false">SUMIFS(Raw_Data!$J:$J,Raw_Data!$A:$A,A8)</f>
        <v>139423.28</v>
      </c>
      <c r="C8" s="14" t="n">
        <f aca="false">SUMIFS(Raw_Data!$L:$L,Raw_Data!$A:$A,A8)</f>
        <v>162759.63</v>
      </c>
      <c r="D8" s="14" t="n">
        <f aca="false">B8+C8</f>
        <v>302182.91</v>
      </c>
      <c r="E8" s="15" t="n">
        <f aca="false">IFERROR((D8-D7)/D7,0)</f>
        <v>-0.00877867639671115</v>
      </c>
    </row>
    <row r="9" customFormat="false" ht="15" hidden="false" customHeight="false" outlineLevel="0" collapsed="false">
      <c r="A9" s="19" t="n">
        <v>45413</v>
      </c>
      <c r="B9" s="14" t="n">
        <f aca="false">SUMIFS(Raw_Data!$J:$J,Raw_Data!$A:$A,A9)</f>
        <v>154364.36</v>
      </c>
      <c r="C9" s="14" t="n">
        <f aca="false">SUMIFS(Raw_Data!$L:$L,Raw_Data!$A:$A,A9)</f>
        <v>154523.67</v>
      </c>
      <c r="D9" s="14" t="n">
        <f aca="false">B9+C9</f>
        <v>308888.03</v>
      </c>
      <c r="E9" s="15" t="n">
        <f aca="false">IFERROR((D9-D8)/D8,0)</f>
        <v>0.0221889450995094</v>
      </c>
    </row>
    <row r="10" customFormat="false" ht="15" hidden="false" customHeight="false" outlineLevel="0" collapsed="false">
      <c r="A10" s="19" t="n">
        <v>45444</v>
      </c>
      <c r="B10" s="14" t="n">
        <f aca="false">SUMIFS(Raw_Data!$J:$J,Raw_Data!$A:$A,A10)</f>
        <v>155406.71</v>
      </c>
      <c r="C10" s="14" t="n">
        <f aca="false">SUMIFS(Raw_Data!$L:$L,Raw_Data!$A:$A,A10)</f>
        <v>166437.71</v>
      </c>
      <c r="D10" s="14" t="n">
        <f aca="false">B10+C10</f>
        <v>321844.42</v>
      </c>
      <c r="E10" s="15" t="n">
        <f aca="false">IFERROR((D10-D9)/D9,0)</f>
        <v>0.0419452641139896</v>
      </c>
    </row>
    <row r="11" customFormat="false" ht="15" hidden="false" customHeight="false" outlineLevel="0" collapsed="false">
      <c r="A11" s="19" t="n">
        <v>45474</v>
      </c>
      <c r="B11" s="14" t="n">
        <f aca="false">SUMIFS(Raw_Data!$J:$J,Raw_Data!$A:$A,A11)</f>
        <v>152827.24</v>
      </c>
      <c r="C11" s="14" t="n">
        <f aca="false">SUMIFS(Raw_Data!$L:$L,Raw_Data!$A:$A,A11)</f>
        <v>173571.59</v>
      </c>
      <c r="D11" s="14" t="n">
        <f aca="false">B11+C11</f>
        <v>326398.83</v>
      </c>
      <c r="E11" s="15" t="n">
        <f aca="false">IFERROR((D11-D10)/D10,0)</f>
        <v>0.0141509677253375</v>
      </c>
    </row>
    <row r="12" customFormat="false" ht="15" hidden="false" customHeight="false" outlineLevel="0" collapsed="false">
      <c r="A12" s="19" t="n">
        <v>45505</v>
      </c>
      <c r="B12" s="14" t="n">
        <f aca="false">SUMIFS(Raw_Data!$J:$J,Raw_Data!$A:$A,A12)</f>
        <v>165324.44</v>
      </c>
      <c r="C12" s="14" t="n">
        <f aca="false">SUMIFS(Raw_Data!$L:$L,Raw_Data!$A:$A,A12)</f>
        <v>168287.48</v>
      </c>
      <c r="D12" s="14" t="n">
        <f aca="false">B12+C12</f>
        <v>333611.92</v>
      </c>
      <c r="E12" s="15" t="n">
        <f aca="false">IFERROR((D12-D11)/D11,0)</f>
        <v>0.0220990069112687</v>
      </c>
    </row>
    <row r="13" customFormat="false" ht="15" hidden="false" customHeight="false" outlineLevel="0" collapsed="false">
      <c r="A13" s="19" t="n">
        <v>45536</v>
      </c>
      <c r="B13" s="14" t="n">
        <f aca="false">SUMIFS(Raw_Data!$J:$J,Raw_Data!$A:$A,A13)</f>
        <v>158060.67</v>
      </c>
      <c r="C13" s="14" t="n">
        <f aca="false">SUMIFS(Raw_Data!$L:$L,Raw_Data!$A:$A,A13)</f>
        <v>180090.54</v>
      </c>
      <c r="D13" s="14" t="n">
        <f aca="false">B13+C13</f>
        <v>338151.21</v>
      </c>
      <c r="E13" s="15" t="n">
        <f aca="false">IFERROR((D13-D12)/D12,0)</f>
        <v>0.0136064982330367</v>
      </c>
    </row>
    <row r="14" customFormat="false" ht="15" hidden="false" customHeight="false" outlineLevel="0" collapsed="false">
      <c r="A14" s="19" t="n">
        <v>45566</v>
      </c>
      <c r="B14" s="14" t="n">
        <f aca="false">SUMIFS(Raw_Data!$J:$J,Raw_Data!$A:$A,A14)</f>
        <v>153117.57</v>
      </c>
      <c r="C14" s="14" t="n">
        <f aca="false">SUMIFS(Raw_Data!$L:$L,Raw_Data!$A:$A,A14)</f>
        <v>174252.71</v>
      </c>
      <c r="D14" s="14" t="n">
        <f aca="false">B14+C14</f>
        <v>327370.28</v>
      </c>
      <c r="E14" s="15" t="n">
        <f aca="false">IFERROR((D14-D13)/D13,0)</f>
        <v>-0.0318819796622935</v>
      </c>
    </row>
    <row r="15" customFormat="false" ht="15" hidden="false" customHeight="false" outlineLevel="0" collapsed="false">
      <c r="A15" s="19" t="n">
        <v>45597</v>
      </c>
      <c r="B15" s="14" t="n">
        <f aca="false">SUMIFS(Raw_Data!$J:$J,Raw_Data!$A:$A,A15)</f>
        <v>155739.86</v>
      </c>
      <c r="C15" s="14" t="n">
        <f aca="false">SUMIFS(Raw_Data!$L:$L,Raw_Data!$A:$A,A15)</f>
        <v>188277.11</v>
      </c>
      <c r="D15" s="14" t="n">
        <f aca="false">B15+C15</f>
        <v>344016.97</v>
      </c>
      <c r="E15" s="15" t="n">
        <f aca="false">IFERROR((D15-D14)/D14,0)</f>
        <v>0.050849728936909</v>
      </c>
    </row>
    <row r="16" customFormat="false" ht="15" hidden="false" customHeight="false" outlineLevel="0" collapsed="false">
      <c r="A16" s="19" t="n">
        <v>45627</v>
      </c>
      <c r="B16" s="14" t="n">
        <f aca="false">SUMIFS(Raw_Data!$J:$J,Raw_Data!$A:$A,A16)</f>
        <v>166546.37</v>
      </c>
      <c r="C16" s="14" t="n">
        <f aca="false">SUMIFS(Raw_Data!$L:$L,Raw_Data!$A:$A,A16)</f>
        <v>180226.39</v>
      </c>
      <c r="D16" s="14" t="n">
        <f aca="false">B16+C16</f>
        <v>346772.76</v>
      </c>
      <c r="E16" s="15" t="n">
        <f aca="false">IFERROR((D16-D15)/D15,0)</f>
        <v>0.00801062226668638</v>
      </c>
    </row>
    <row r="17" customFormat="false" ht="15" hidden="false" customHeight="false" outlineLevel="0" collapsed="false">
      <c r="A17" s="19" t="n">
        <v>45658</v>
      </c>
      <c r="B17" s="14" t="n">
        <f aca="false">SUMIFS(Raw_Data!$J:$J,Raw_Data!$A:$A,A17)</f>
        <v>148444.21</v>
      </c>
      <c r="C17" s="14" t="n">
        <f aca="false">SUMIFS(Raw_Data!$L:$L,Raw_Data!$A:$A,A17)</f>
        <v>184027.38</v>
      </c>
      <c r="D17" s="14" t="n">
        <f aca="false">B17+C17</f>
        <v>332471.59</v>
      </c>
      <c r="E17" s="15" t="n">
        <f aca="false">IFERROR((D17-D16)/D16,0)</f>
        <v>-0.0412407537431719</v>
      </c>
    </row>
    <row r="18" customFormat="false" ht="15" hidden="false" customHeight="false" outlineLevel="0" collapsed="false">
      <c r="A18" s="19" t="n">
        <v>45689</v>
      </c>
      <c r="B18" s="14" t="n">
        <f aca="false">SUMIFS(Raw_Data!$J:$J,Raw_Data!$A:$A,A18)</f>
        <v>183436.36</v>
      </c>
      <c r="C18" s="14" t="n">
        <f aca="false">SUMIFS(Raw_Data!$L:$L,Raw_Data!$A:$A,A18)</f>
        <v>183809.7</v>
      </c>
      <c r="D18" s="14" t="n">
        <f aca="false">B18+C18</f>
        <v>367246.06</v>
      </c>
      <c r="E18" s="15" t="n">
        <f aca="false">IFERROR((D18-D17)/D17,0)</f>
        <v>0.104593809052978</v>
      </c>
    </row>
    <row r="19" customFormat="false" ht="15" hidden="false" customHeight="false" outlineLevel="0" collapsed="false">
      <c r="A19" s="19" t="n">
        <v>45717</v>
      </c>
      <c r="B19" s="14" t="n">
        <f aca="false">SUMIFS(Raw_Data!$J:$J,Raw_Data!$A:$A,A19)</f>
        <v>184952.62</v>
      </c>
      <c r="C19" s="14" t="n">
        <f aca="false">SUMIFS(Raw_Data!$L:$L,Raw_Data!$A:$A,A19)</f>
        <v>189748.18</v>
      </c>
      <c r="D19" s="14" t="n">
        <f aca="false">B19+C19</f>
        <v>374700.8</v>
      </c>
      <c r="E19" s="15" t="n">
        <f aca="false">IFERROR((D19-D18)/D18,0)</f>
        <v>0.0202990332966404</v>
      </c>
    </row>
    <row r="20" customFormat="false" ht="15" hidden="false" customHeight="false" outlineLevel="0" collapsed="false">
      <c r="A20" s="19" t="n">
        <v>45748</v>
      </c>
      <c r="B20" s="14" t="n">
        <f aca="false">SUMIFS(Raw_Data!$J:$J,Raw_Data!$A:$A,A20)</f>
        <v>183032.36</v>
      </c>
      <c r="C20" s="14" t="n">
        <f aca="false">SUMIFS(Raw_Data!$L:$L,Raw_Data!$A:$A,A20)</f>
        <v>184759.46</v>
      </c>
      <c r="D20" s="14" t="n">
        <f aca="false">B20+C20</f>
        <v>367791.82</v>
      </c>
      <c r="E20" s="15" t="n">
        <f aca="false">IFERROR((D20-D19)/D19,0)</f>
        <v>-0.0184386582574683</v>
      </c>
    </row>
    <row r="21" customFormat="false" ht="15" hidden="false" customHeight="false" outlineLevel="0" collapsed="false">
      <c r="A21" s="19" t="n">
        <v>45778</v>
      </c>
      <c r="B21" s="14" t="n">
        <f aca="false">SUMIFS(Raw_Data!$J:$J,Raw_Data!$A:$A,A21)</f>
        <v>174418.81</v>
      </c>
      <c r="C21" s="14" t="n">
        <f aca="false">SUMIFS(Raw_Data!$L:$L,Raw_Data!$A:$A,A21)</f>
        <v>201319.99</v>
      </c>
      <c r="D21" s="14" t="n">
        <f aca="false">B21+C21</f>
        <v>375738.8</v>
      </c>
      <c r="E21" s="15" t="n">
        <f aca="false">IFERROR((D21-D20)/D20,0)</f>
        <v>0.0216072777257525</v>
      </c>
    </row>
    <row r="22" customFormat="false" ht="15" hidden="false" customHeight="false" outlineLevel="0" collapsed="false">
      <c r="A22" s="19" t="n">
        <v>45809</v>
      </c>
      <c r="B22" s="14" t="n">
        <f aca="false">SUMIFS(Raw_Data!$J:$J,Raw_Data!$A:$A,A22)</f>
        <v>165521.24</v>
      </c>
      <c r="C22" s="14" t="n">
        <f aca="false">SUMIFS(Raw_Data!$L:$L,Raw_Data!$A:$A,A22)</f>
        <v>188796.24</v>
      </c>
      <c r="D22" s="14" t="n">
        <f aca="false">B22+C22</f>
        <v>354317.48</v>
      </c>
      <c r="E22" s="15" t="n">
        <f aca="false">IFERROR((D22-D21)/D21,0)</f>
        <v>-0.057011200333849</v>
      </c>
    </row>
    <row r="23" customFormat="false" ht="15" hidden="false" customHeight="false" outlineLevel="0" collapsed="false">
      <c r="A23" s="19" t="n">
        <v>45839</v>
      </c>
      <c r="B23" s="14" t="n">
        <f aca="false">SUMIFS(Raw_Data!$J:$J,Raw_Data!$A:$A,A23)</f>
        <v>179567.68</v>
      </c>
      <c r="C23" s="14" t="n">
        <f aca="false">SUMIFS(Raw_Data!$L:$L,Raw_Data!$A:$A,A23)</f>
        <v>195176.28</v>
      </c>
      <c r="D23" s="14" t="n">
        <f aca="false">B23+C23</f>
        <v>374743.96</v>
      </c>
      <c r="E23" s="15" t="n">
        <f aca="false">IFERROR((D23-D22)/D22,0)</f>
        <v>0.0576502181038316</v>
      </c>
    </row>
    <row r="24" customFormat="false" ht="15" hidden="false" customHeight="false" outlineLevel="0" collapsed="false">
      <c r="A24" s="19" t="n">
        <v>45870</v>
      </c>
      <c r="B24" s="14" t="n">
        <f aca="false">SUMIFS(Raw_Data!$J:$J,Raw_Data!$A:$A,A24)</f>
        <v>178383.36</v>
      </c>
      <c r="C24" s="14" t="n">
        <f aca="false">SUMIFS(Raw_Data!$L:$L,Raw_Data!$A:$A,A24)</f>
        <v>195809.34</v>
      </c>
      <c r="D24" s="14" t="n">
        <f aca="false">B24+C24</f>
        <v>374192.7</v>
      </c>
      <c r="E24" s="15" t="n">
        <f aca="false">IFERROR((D24-D23)/D23,0)</f>
        <v>-0.00147103104743839</v>
      </c>
    </row>
    <row r="25" customFormat="false" ht="15" hidden="false" customHeight="false" outlineLevel="0" collapsed="false">
      <c r="A25" s="19" t="n">
        <v>45901</v>
      </c>
      <c r="B25" s="14" t="n">
        <f aca="false">SUMIFS(Raw_Data!$J:$J,Raw_Data!$A:$A,A25)</f>
        <v>181763.96</v>
      </c>
      <c r="C25" s="14" t="n">
        <f aca="false">SUMIFS(Raw_Data!$L:$L,Raw_Data!$A:$A,A25)</f>
        <v>217048.92</v>
      </c>
      <c r="D25" s="14" t="n">
        <f aca="false">B25+C25</f>
        <v>398812.88</v>
      </c>
      <c r="E25" s="15" t="n">
        <f aca="false">IFERROR((D25-D24)/D24,0)</f>
        <v>0.0657954577948743</v>
      </c>
    </row>
    <row r="26" customFormat="false" ht="15" hidden="false" customHeight="false" outlineLevel="0" collapsed="false">
      <c r="A26" s="19" t="n">
        <v>45931</v>
      </c>
      <c r="B26" s="14" t="n">
        <f aca="false">SUMIFS(Raw_Data!$J:$J,Raw_Data!$A:$A,A26)</f>
        <v>197038.8</v>
      </c>
      <c r="C26" s="14" t="n">
        <f aca="false">SUMIFS(Raw_Data!$L:$L,Raw_Data!$A:$A,A26)</f>
        <v>203274.72</v>
      </c>
      <c r="D26" s="14" t="n">
        <f aca="false">B26+C26</f>
        <v>400313.52</v>
      </c>
      <c r="E26" s="15" t="n">
        <f aca="false">IFERROR((D26-D25)/D25,0)</f>
        <v>0.00376276714031907</v>
      </c>
    </row>
    <row r="27" customFormat="false" ht="15" hidden="false" customHeight="false" outlineLevel="0" collapsed="false">
      <c r="A27" s="19" t="n">
        <v>45962</v>
      </c>
      <c r="B27" s="14" t="n">
        <f aca="false">SUMIFS(Raw_Data!$J:$J,Raw_Data!$A:$A,A27)</f>
        <v>184633.92</v>
      </c>
      <c r="C27" s="14" t="n">
        <f aca="false">SUMIFS(Raw_Data!$L:$L,Raw_Data!$A:$A,A27)</f>
        <v>206442.29</v>
      </c>
      <c r="D27" s="14" t="n">
        <f aca="false">B27+C27</f>
        <v>391076.21</v>
      </c>
      <c r="E27" s="15" t="n">
        <f aca="false">IFERROR((D27-D26)/D26,0)</f>
        <v>-0.0230751886671228</v>
      </c>
    </row>
    <row r="28" customFormat="false" ht="15" hidden="false" customHeight="false" outlineLevel="0" collapsed="false">
      <c r="A28" s="19" t="n">
        <v>45992</v>
      </c>
      <c r="B28" s="14" t="n">
        <f aca="false">SUMIFS(Raw_Data!$J:$J,Raw_Data!$A:$A,A28)</f>
        <v>193452.71</v>
      </c>
      <c r="C28" s="14" t="n">
        <f aca="false">SUMIFS(Raw_Data!$L:$L,Raw_Data!$A:$A,A28)</f>
        <v>195428.17</v>
      </c>
      <c r="D28" s="14" t="n">
        <f aca="false">B28+C28</f>
        <v>388880.88</v>
      </c>
      <c r="E28" s="15" t="n">
        <f aca="false">IFERROR((D28-D27)/D27,0)</f>
        <v>-0.00561356058963535</v>
      </c>
    </row>
    <row r="31" customFormat="false" ht="15" hidden="false" customHeight="false" outlineLevel="0" collapsed="false">
      <c r="A31" s="18" t="s">
        <v>89</v>
      </c>
      <c r="B31" s="18"/>
      <c r="C31" s="18"/>
      <c r="D31" s="18"/>
    </row>
    <row r="32" customFormat="false" ht="15" hidden="false" customHeight="false" outlineLevel="0" collapsed="false">
      <c r="A32" s="10" t="s">
        <v>17</v>
      </c>
      <c r="B32" s="10" t="s">
        <v>21</v>
      </c>
      <c r="C32" s="10" t="s">
        <v>86</v>
      </c>
      <c r="D32" s="10" t="s">
        <v>87</v>
      </c>
    </row>
    <row r="33" customFormat="false" ht="15" hidden="false" customHeight="false" outlineLevel="0" collapsed="false">
      <c r="A33" s="12" t="s">
        <v>42</v>
      </c>
      <c r="B33" s="14" t="n">
        <f aca="false">SUMIFS(Raw_Data!$J:$J,Raw_Data!$E:$E,A33)</f>
        <v>2797344.81</v>
      </c>
      <c r="C33" s="14" t="n">
        <f aca="false">SUMIFS(Raw_Data!$L:$L,Raw_Data!$E:$E,A33)</f>
        <v>3564383.58</v>
      </c>
      <c r="D33" s="14" t="n">
        <f aca="false">B33+C33</f>
        <v>6361728.39</v>
      </c>
    </row>
    <row r="34" customFormat="false" ht="15" hidden="false" customHeight="false" outlineLevel="0" collapsed="false">
      <c r="A34" s="12" t="s">
        <v>60</v>
      </c>
      <c r="B34" s="14" t="n">
        <f aca="false">SUMIFS(Raw_Data!$J:$J,Raw_Data!$E:$E,A34)</f>
        <v>570932.5</v>
      </c>
      <c r="C34" s="14" t="n">
        <f aca="false">SUMIFS(Raw_Data!$L:$L,Raw_Data!$E:$E,A34)</f>
        <v>414487.64</v>
      </c>
      <c r="D34" s="14" t="n">
        <f aca="false">B34+C34</f>
        <v>985420.14</v>
      </c>
    </row>
    <row r="35" customFormat="false" ht="15" hidden="false" customHeight="false" outlineLevel="0" collapsed="false">
      <c r="A35" s="12" t="s">
        <v>65</v>
      </c>
      <c r="B35" s="14" t="n">
        <f aca="false">SUMIFS(Raw_Data!$J:$J,Raw_Data!$E:$E,A35)</f>
        <v>612271.12</v>
      </c>
      <c r="C35" s="14" t="n">
        <f aca="false">SUMIFS(Raw_Data!$L:$L,Raw_Data!$E:$E,A35)</f>
        <v>400514.88</v>
      </c>
      <c r="D35" s="14" t="n">
        <f aca="false">B35+C35</f>
        <v>1012786</v>
      </c>
    </row>
    <row r="38" customFormat="false" ht="15" hidden="false" customHeight="false" outlineLevel="0" collapsed="false">
      <c r="A38" s="18" t="s">
        <v>90</v>
      </c>
      <c r="B38" s="18"/>
      <c r="C38" s="18"/>
      <c r="D38" s="18"/>
    </row>
    <row r="39" customFormat="false" ht="15" hidden="false" customHeight="false" outlineLevel="0" collapsed="false">
      <c r="A39" s="10" t="s">
        <v>3</v>
      </c>
      <c r="B39" s="10" t="s">
        <v>91</v>
      </c>
      <c r="C39" s="10" t="s">
        <v>92</v>
      </c>
      <c r="D39" s="10" t="s">
        <v>93</v>
      </c>
    </row>
    <row r="40" customFormat="false" ht="15" hidden="false" customHeight="false" outlineLevel="0" collapsed="false">
      <c r="A40" s="19" t="n">
        <v>45292</v>
      </c>
      <c r="B40" s="14" t="n">
        <f aca="false">SUMIFS(Raw_Data!$X:$X,Raw_Data!$A:$A,A40)</f>
        <v>301280.31</v>
      </c>
      <c r="C40" s="14" t="n">
        <f aca="false">SUMIFS(Raw_Data!$W:$W,Raw_Data!$A:$A,A40)</f>
        <v>298390</v>
      </c>
      <c r="D40" s="14" t="n">
        <f aca="false">B40-C40</f>
        <v>2890.31</v>
      </c>
    </row>
    <row r="41" customFormat="false" ht="15" hidden="false" customHeight="false" outlineLevel="0" collapsed="false">
      <c r="A41" s="19" t="n">
        <v>45323</v>
      </c>
      <c r="B41" s="14" t="n">
        <f aca="false">SUMIFS(Raw_Data!$X:$X,Raw_Data!$A:$A,A41)</f>
        <v>304271.02</v>
      </c>
      <c r="C41" s="14" t="n">
        <f aca="false">SUMIFS(Raw_Data!$W:$W,Raw_Data!$A:$A,A41)</f>
        <v>302183.49</v>
      </c>
      <c r="D41" s="14" t="n">
        <f aca="false">B41-C41</f>
        <v>2087.53000000003</v>
      </c>
    </row>
    <row r="42" customFormat="false" ht="15" hidden="false" customHeight="false" outlineLevel="0" collapsed="false">
      <c r="A42" s="19" t="n">
        <v>45352</v>
      </c>
      <c r="B42" s="14" t="n">
        <f aca="false">SUMIFS(Raw_Data!$X:$X,Raw_Data!$A:$A,A42)</f>
        <v>304859.17</v>
      </c>
      <c r="C42" s="14" t="n">
        <f aca="false">SUMIFS(Raw_Data!$W:$W,Raw_Data!$A:$A,A42)</f>
        <v>306029.2</v>
      </c>
      <c r="D42" s="14" t="n">
        <f aca="false">B42-C42</f>
        <v>-1170.02999999997</v>
      </c>
    </row>
    <row r="43" customFormat="false" ht="15" hidden="false" customHeight="false" outlineLevel="0" collapsed="false">
      <c r="A43" s="19" t="n">
        <v>45383</v>
      </c>
      <c r="B43" s="14" t="n">
        <f aca="false">SUMIFS(Raw_Data!$X:$X,Raw_Data!$A:$A,A43)</f>
        <v>302182.91</v>
      </c>
      <c r="C43" s="14" t="n">
        <f aca="false">SUMIFS(Raw_Data!$W:$W,Raw_Data!$A:$A,A43)</f>
        <v>309927.83</v>
      </c>
      <c r="D43" s="14" t="n">
        <f aca="false">B43-C43</f>
        <v>-7744.91999999998</v>
      </c>
    </row>
    <row r="44" customFormat="false" ht="15" hidden="false" customHeight="false" outlineLevel="0" collapsed="false">
      <c r="A44" s="19" t="n">
        <v>45413</v>
      </c>
      <c r="B44" s="14" t="n">
        <f aca="false">SUMIFS(Raw_Data!$X:$X,Raw_Data!$A:$A,A44)</f>
        <v>308888.03</v>
      </c>
      <c r="C44" s="14" t="n">
        <f aca="false">SUMIFS(Raw_Data!$W:$W,Raw_Data!$A:$A,A44)</f>
        <v>313880.24</v>
      </c>
      <c r="D44" s="14" t="n">
        <f aca="false">B44-C44</f>
        <v>-4992.20999999996</v>
      </c>
    </row>
    <row r="45" customFormat="false" ht="15" hidden="false" customHeight="false" outlineLevel="0" collapsed="false">
      <c r="A45" s="19" t="n">
        <v>45444</v>
      </c>
      <c r="B45" s="14" t="n">
        <f aca="false">SUMIFS(Raw_Data!$X:$X,Raw_Data!$A:$A,A45)</f>
        <v>321844.42</v>
      </c>
      <c r="C45" s="14" t="n">
        <f aca="false">SUMIFS(Raw_Data!$W:$W,Raw_Data!$A:$A,A45)</f>
        <v>317887.18</v>
      </c>
      <c r="D45" s="14" t="n">
        <f aca="false">B45-C45</f>
        <v>3957.24000000005</v>
      </c>
    </row>
    <row r="46" customFormat="false" ht="15" hidden="false" customHeight="false" outlineLevel="0" collapsed="false">
      <c r="A46" s="19" t="n">
        <v>45474</v>
      </c>
      <c r="B46" s="14" t="n">
        <f aca="false">SUMIFS(Raw_Data!$X:$X,Raw_Data!$A:$A,A46)</f>
        <v>326398.83</v>
      </c>
      <c r="C46" s="14" t="n">
        <f aca="false">SUMIFS(Raw_Data!$W:$W,Raw_Data!$A:$A,A46)</f>
        <v>321949.48</v>
      </c>
      <c r="D46" s="14" t="n">
        <f aca="false">B46-C46</f>
        <v>4449.34999999998</v>
      </c>
    </row>
    <row r="47" customFormat="false" ht="15" hidden="false" customHeight="false" outlineLevel="0" collapsed="false">
      <c r="A47" s="19" t="n">
        <v>45505</v>
      </c>
      <c r="B47" s="14" t="n">
        <f aca="false">SUMIFS(Raw_Data!$X:$X,Raw_Data!$A:$A,A47)</f>
        <v>333611.92</v>
      </c>
      <c r="C47" s="14" t="n">
        <f aca="false">SUMIFS(Raw_Data!$W:$W,Raw_Data!$A:$A,A47)</f>
        <v>326067.96</v>
      </c>
      <c r="D47" s="14" t="n">
        <f aca="false">B47-C47</f>
        <v>7543.96000000002</v>
      </c>
    </row>
    <row r="48" customFormat="false" ht="15" hidden="false" customHeight="false" outlineLevel="0" collapsed="false">
      <c r="A48" s="19" t="n">
        <v>45536</v>
      </c>
      <c r="B48" s="14" t="n">
        <f aca="false">SUMIFS(Raw_Data!$X:$X,Raw_Data!$A:$A,A48)</f>
        <v>338151.21</v>
      </c>
      <c r="C48" s="14" t="n">
        <f aca="false">SUMIFS(Raw_Data!$W:$W,Raw_Data!$A:$A,A48)</f>
        <v>330243.42</v>
      </c>
      <c r="D48" s="14" t="n">
        <f aca="false">B48-C48</f>
        <v>7907.79000000004</v>
      </c>
    </row>
    <row r="49" customFormat="false" ht="15" hidden="false" customHeight="false" outlineLevel="0" collapsed="false">
      <c r="A49" s="19" t="n">
        <v>45566</v>
      </c>
      <c r="B49" s="14" t="n">
        <f aca="false">SUMIFS(Raw_Data!$X:$X,Raw_Data!$A:$A,A49)</f>
        <v>327370.28</v>
      </c>
      <c r="C49" s="14" t="n">
        <f aca="false">SUMIFS(Raw_Data!$W:$W,Raw_Data!$A:$A,A49)</f>
        <v>334476.72</v>
      </c>
      <c r="D49" s="14" t="n">
        <f aca="false">B49-C49</f>
        <v>-7106.44</v>
      </c>
    </row>
    <row r="50" customFormat="false" ht="15" hidden="false" customHeight="false" outlineLevel="0" collapsed="false">
      <c r="A50" s="19" t="n">
        <v>45597</v>
      </c>
      <c r="B50" s="14" t="n">
        <f aca="false">SUMIFS(Raw_Data!$X:$X,Raw_Data!$A:$A,A50)</f>
        <v>344016.97</v>
      </c>
      <c r="C50" s="14" t="n">
        <f aca="false">SUMIFS(Raw_Data!$W:$W,Raw_Data!$A:$A,A50)</f>
        <v>338768.72</v>
      </c>
      <c r="D50" s="14" t="n">
        <f aca="false">B50-C50</f>
        <v>5248.25000000006</v>
      </c>
    </row>
    <row r="51" customFormat="false" ht="15" hidden="false" customHeight="false" outlineLevel="0" collapsed="false">
      <c r="A51" s="19" t="n">
        <v>45627</v>
      </c>
      <c r="B51" s="14" t="n">
        <f aca="false">SUMIFS(Raw_Data!$X:$X,Raw_Data!$A:$A,A51)</f>
        <v>346772.76</v>
      </c>
      <c r="C51" s="14" t="n">
        <f aca="false">SUMIFS(Raw_Data!$W:$W,Raw_Data!$A:$A,A51)</f>
        <v>343120.3</v>
      </c>
      <c r="D51" s="14" t="n">
        <f aca="false">B51-C51</f>
        <v>3652.46000000002</v>
      </c>
    </row>
    <row r="52" customFormat="false" ht="15" hidden="false" customHeight="false" outlineLevel="0" collapsed="false">
      <c r="A52" s="19" t="n">
        <v>45658</v>
      </c>
      <c r="B52" s="14" t="n">
        <f aca="false">SUMIFS(Raw_Data!$X:$X,Raw_Data!$A:$A,A52)</f>
        <v>332471.59</v>
      </c>
      <c r="C52" s="14" t="n">
        <f aca="false">SUMIFS(Raw_Data!$W:$W,Raw_Data!$A:$A,A52)</f>
        <v>347532.35</v>
      </c>
      <c r="D52" s="14" t="n">
        <f aca="false">B52-C52</f>
        <v>-15060.76</v>
      </c>
    </row>
    <row r="53" customFormat="false" ht="15" hidden="false" customHeight="false" outlineLevel="0" collapsed="false">
      <c r="A53" s="19" t="n">
        <v>45689</v>
      </c>
      <c r="B53" s="14" t="n">
        <f aca="false">SUMIFS(Raw_Data!$X:$X,Raw_Data!$A:$A,A53)</f>
        <v>367246.06</v>
      </c>
      <c r="C53" s="14" t="n">
        <f aca="false">SUMIFS(Raw_Data!$W:$W,Raw_Data!$A:$A,A53)</f>
        <v>352005.72</v>
      </c>
      <c r="D53" s="14" t="n">
        <f aca="false">B53-C53</f>
        <v>15240.34</v>
      </c>
    </row>
    <row r="54" customFormat="false" ht="15" hidden="false" customHeight="false" outlineLevel="0" collapsed="false">
      <c r="A54" s="19" t="n">
        <v>45717</v>
      </c>
      <c r="B54" s="14" t="n">
        <f aca="false">SUMIFS(Raw_Data!$X:$X,Raw_Data!$A:$A,A54)</f>
        <v>374700.8</v>
      </c>
      <c r="C54" s="14" t="n">
        <f aca="false">SUMIFS(Raw_Data!$W:$W,Raw_Data!$A:$A,A54)</f>
        <v>356541.38</v>
      </c>
      <c r="D54" s="14" t="n">
        <f aca="false">B54-C54</f>
        <v>18159.42</v>
      </c>
    </row>
    <row r="55" customFormat="false" ht="15" hidden="false" customHeight="false" outlineLevel="0" collapsed="false">
      <c r="A55" s="19" t="n">
        <v>45748</v>
      </c>
      <c r="B55" s="14" t="n">
        <f aca="false">SUMIFS(Raw_Data!$X:$X,Raw_Data!$A:$A,A55)</f>
        <v>367791.82</v>
      </c>
      <c r="C55" s="14" t="n">
        <f aca="false">SUMIFS(Raw_Data!$W:$W,Raw_Data!$A:$A,A55)</f>
        <v>361140.24</v>
      </c>
      <c r="D55" s="14" t="n">
        <f aca="false">B55-C55</f>
        <v>6651.58000000002</v>
      </c>
    </row>
    <row r="56" customFormat="false" ht="15" hidden="false" customHeight="false" outlineLevel="0" collapsed="false">
      <c r="A56" s="19" t="n">
        <v>45778</v>
      </c>
      <c r="B56" s="14" t="n">
        <f aca="false">SUMIFS(Raw_Data!$X:$X,Raw_Data!$A:$A,A56)</f>
        <v>375738.8</v>
      </c>
      <c r="C56" s="14" t="n">
        <f aca="false">SUMIFS(Raw_Data!$W:$W,Raw_Data!$A:$A,A56)</f>
        <v>365803.23</v>
      </c>
      <c r="D56" s="14" t="n">
        <f aca="false">B56-C56</f>
        <v>9935.57000000007</v>
      </c>
    </row>
    <row r="57" customFormat="false" ht="15" hidden="false" customHeight="false" outlineLevel="0" collapsed="false">
      <c r="A57" s="19" t="n">
        <v>45809</v>
      </c>
      <c r="B57" s="14" t="n">
        <f aca="false">SUMIFS(Raw_Data!$X:$X,Raw_Data!$A:$A,A57)</f>
        <v>354317.48</v>
      </c>
      <c r="C57" s="14" t="n">
        <f aca="false">SUMIFS(Raw_Data!$W:$W,Raw_Data!$A:$A,A57)</f>
        <v>370531.3</v>
      </c>
      <c r="D57" s="14" t="n">
        <f aca="false">B57-C57</f>
        <v>-16213.82</v>
      </c>
    </row>
    <row r="58" customFormat="false" ht="15" hidden="false" customHeight="false" outlineLevel="0" collapsed="false">
      <c r="A58" s="19" t="n">
        <v>45839</v>
      </c>
      <c r="B58" s="14" t="n">
        <f aca="false">SUMIFS(Raw_Data!$X:$X,Raw_Data!$A:$A,A58)</f>
        <v>374743.96</v>
      </c>
      <c r="C58" s="14" t="n">
        <f aca="false">SUMIFS(Raw_Data!$W:$W,Raw_Data!$A:$A,A58)</f>
        <v>375325.45</v>
      </c>
      <c r="D58" s="14" t="n">
        <f aca="false">B58-C58</f>
        <v>-581.490000000049</v>
      </c>
    </row>
    <row r="59" customFormat="false" ht="15" hidden="false" customHeight="false" outlineLevel="0" collapsed="false">
      <c r="A59" s="19" t="n">
        <v>45870</v>
      </c>
      <c r="B59" s="14" t="n">
        <f aca="false">SUMIFS(Raw_Data!$X:$X,Raw_Data!$A:$A,A59)</f>
        <v>374192.7</v>
      </c>
      <c r="C59" s="14" t="n">
        <f aca="false">SUMIFS(Raw_Data!$W:$W,Raw_Data!$A:$A,A59)</f>
        <v>380186.66</v>
      </c>
      <c r="D59" s="14" t="n">
        <f aca="false">B59-C59</f>
        <v>-5993.96000000002</v>
      </c>
    </row>
    <row r="60" customFormat="false" ht="15" hidden="false" customHeight="false" outlineLevel="0" collapsed="false">
      <c r="A60" s="19" t="n">
        <v>45901</v>
      </c>
      <c r="B60" s="14" t="n">
        <f aca="false">SUMIFS(Raw_Data!$X:$X,Raw_Data!$A:$A,A60)</f>
        <v>398812.88</v>
      </c>
      <c r="C60" s="14" t="n">
        <f aca="false">SUMIFS(Raw_Data!$W:$W,Raw_Data!$A:$A,A60)</f>
        <v>385115.9</v>
      </c>
      <c r="D60" s="14" t="n">
        <f aca="false">B60-C60</f>
        <v>13696.98</v>
      </c>
    </row>
    <row r="61" customFormat="false" ht="15" hidden="false" customHeight="false" outlineLevel="0" collapsed="false">
      <c r="A61" s="19" t="n">
        <v>45931</v>
      </c>
      <c r="B61" s="14" t="n">
        <f aca="false">SUMIFS(Raw_Data!$X:$X,Raw_Data!$A:$A,A61)</f>
        <v>400313.52</v>
      </c>
      <c r="C61" s="14" t="n">
        <f aca="false">SUMIFS(Raw_Data!$W:$W,Raw_Data!$A:$A,A61)</f>
        <v>390114.23</v>
      </c>
      <c r="D61" s="14" t="n">
        <f aca="false">B61-C61</f>
        <v>10199.29</v>
      </c>
    </row>
    <row r="62" customFormat="false" ht="15" hidden="false" customHeight="false" outlineLevel="0" collapsed="false">
      <c r="A62" s="19" t="n">
        <v>45962</v>
      </c>
      <c r="B62" s="14" t="n">
        <f aca="false">SUMIFS(Raw_Data!$X:$X,Raw_Data!$A:$A,A62)</f>
        <v>391076.21</v>
      </c>
      <c r="C62" s="14" t="n">
        <f aca="false">SUMIFS(Raw_Data!$W:$W,Raw_Data!$A:$A,A62)</f>
        <v>395182.67</v>
      </c>
      <c r="D62" s="14" t="n">
        <f aca="false">B62-C62</f>
        <v>-4106.45999999996</v>
      </c>
    </row>
    <row r="63" customFormat="false" ht="15" hidden="false" customHeight="false" outlineLevel="0" collapsed="false">
      <c r="A63" s="19" t="n">
        <v>45992</v>
      </c>
      <c r="B63" s="14" t="n">
        <f aca="false">SUMIFS(Raw_Data!$X:$X,Raw_Data!$A:$A,A63)</f>
        <v>388880.88</v>
      </c>
      <c r="C63" s="14" t="n">
        <f aca="false">SUMIFS(Raw_Data!$W:$W,Raw_Data!$A:$A,A63)</f>
        <v>400322.26</v>
      </c>
      <c r="D63" s="14" t="n">
        <f aca="false">B63-C63</f>
        <v>-11441.38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7" min="2" style="0" width="15"/>
  </cols>
  <sheetData>
    <row r="1" customFormat="false" ht="16.15" hidden="false" customHeight="false" outlineLevel="0" collapsed="false">
      <c r="A1" s="16" t="s">
        <v>94</v>
      </c>
    </row>
    <row r="3" customFormat="false" ht="15" hidden="false" customHeight="false" outlineLevel="0" collapsed="false">
      <c r="A3" s="18" t="s">
        <v>95</v>
      </c>
      <c r="B3" s="18"/>
      <c r="C3" s="18"/>
      <c r="D3" s="18"/>
      <c r="E3" s="18"/>
      <c r="F3" s="18"/>
      <c r="G3" s="18"/>
    </row>
    <row r="4" customFormat="false" ht="23.85" hidden="false" customHeight="false" outlineLevel="0" collapsed="false">
      <c r="A4" s="10" t="s">
        <v>3</v>
      </c>
      <c r="B4" s="10" t="s">
        <v>96</v>
      </c>
      <c r="C4" s="10" t="s">
        <v>10</v>
      </c>
      <c r="D4" s="10" t="s">
        <v>97</v>
      </c>
      <c r="E4" s="10" t="s">
        <v>98</v>
      </c>
      <c r="F4" s="10" t="s">
        <v>99</v>
      </c>
      <c r="G4" s="10" t="s">
        <v>100</v>
      </c>
    </row>
    <row r="5" customFormat="false" ht="15" hidden="false" customHeight="false" outlineLevel="0" collapsed="false">
      <c r="A5" s="19" t="n">
        <v>45292</v>
      </c>
      <c r="B5" s="14" t="n">
        <f aca="false">SUMIFS(Raw_Data!$K:$K,Raw_Data!$A:$A,A5)</f>
        <v>362346.6</v>
      </c>
      <c r="C5" s="14" t="n">
        <f aca="false">SUMIFS(Raw_Data!$M:$M,Raw_Data!$A:$A,A5)</f>
        <v>203558.38</v>
      </c>
      <c r="D5" s="14" t="n">
        <f aca="false">SUMIFS(Raw_Data!$Q:$Q,Raw_Data!$A:$A,A5)</f>
        <v>124209.54</v>
      </c>
      <c r="E5" s="15" t="n">
        <f aca="false">IFERROR(B5/SUMIFS(Raw_Data!$I:$I,Raw_Data!$A:$A,A5),0)</f>
        <v>0.717747286762035</v>
      </c>
      <c r="F5" s="15" t="n">
        <f aca="false">IFERROR(C5/SUMIFS(Raw_Data!$I:$I,Raw_Data!$A:$A,A5),0)</f>
        <v>0.403214698144471</v>
      </c>
      <c r="G5" s="15" t="n">
        <f aca="false">IFERROR(D5/SUMIFS(Raw_Data!$I:$I,Raw_Data!$A:$A,A5),0)</f>
        <v>0.246038076043657</v>
      </c>
    </row>
    <row r="6" customFormat="false" ht="15" hidden="false" customHeight="false" outlineLevel="0" collapsed="false">
      <c r="A6" s="19" t="n">
        <v>45323</v>
      </c>
      <c r="B6" s="14" t="n">
        <f aca="false">SUMIFS(Raw_Data!$K:$K,Raw_Data!$A:$A,A6)</f>
        <v>382536.84</v>
      </c>
      <c r="C6" s="14" t="n">
        <f aca="false">SUMIFS(Raw_Data!$M:$M,Raw_Data!$A:$A,A6)</f>
        <v>219977.14</v>
      </c>
      <c r="D6" s="14" t="n">
        <f aca="false">SUMIFS(Raw_Data!$Q:$Q,Raw_Data!$A:$A,A6)</f>
        <v>139088.64</v>
      </c>
      <c r="E6" s="15" t="n">
        <f aca="false">IFERROR(B6/SUMIFS(Raw_Data!$I:$I,Raw_Data!$A:$A,A6),0)</f>
        <v>0.729686566758766</v>
      </c>
      <c r="F6" s="15" t="n">
        <f aca="false">IFERROR(C6/SUMIFS(Raw_Data!$I:$I,Raw_Data!$A:$A,A6),0)</f>
        <v>0.419604982495313</v>
      </c>
      <c r="G6" s="15" t="n">
        <f aca="false">IFERROR(D6/SUMIFS(Raw_Data!$I:$I,Raw_Data!$A:$A,A6),0)</f>
        <v>0.265310687976473</v>
      </c>
    </row>
    <row r="7" customFormat="false" ht="15" hidden="false" customHeight="false" outlineLevel="0" collapsed="false">
      <c r="A7" s="19" t="n">
        <v>45352</v>
      </c>
      <c r="B7" s="14" t="n">
        <f aca="false">SUMIFS(Raw_Data!$K:$K,Raw_Data!$A:$A,A7)</f>
        <v>384361.72</v>
      </c>
      <c r="C7" s="14" t="n">
        <f aca="false">SUMIFS(Raw_Data!$M:$M,Raw_Data!$A:$A,A7)</f>
        <v>220391.04</v>
      </c>
      <c r="D7" s="14" t="n">
        <f aca="false">SUMIFS(Raw_Data!$Q:$Q,Raw_Data!$A:$A,A7)</f>
        <v>139300.54</v>
      </c>
      <c r="E7" s="15" t="n">
        <f aca="false">IFERROR(B7/SUMIFS(Raw_Data!$I:$I,Raw_Data!$A:$A,A7),0)</f>
        <v>0.731768807860162</v>
      </c>
      <c r="F7" s="15" t="n">
        <f aca="false">IFERROR(C7/SUMIFS(Raw_Data!$I:$I,Raw_Data!$A:$A,A7),0)</f>
        <v>0.419592483361406</v>
      </c>
      <c r="G7" s="15" t="n">
        <f aca="false">IFERROR(D7/SUMIFS(Raw_Data!$I:$I,Raw_Data!$A:$A,A7),0)</f>
        <v>0.265207966313807</v>
      </c>
    </row>
    <row r="8" customFormat="false" ht="15" hidden="false" customHeight="false" outlineLevel="0" collapsed="false">
      <c r="A8" s="19" t="n">
        <v>45383</v>
      </c>
      <c r="B8" s="14" t="n">
        <f aca="false">SUMIFS(Raw_Data!$K:$K,Raw_Data!$A:$A,A8)</f>
        <v>392886.91</v>
      </c>
      <c r="C8" s="14" t="n">
        <f aca="false">SUMIFS(Raw_Data!$M:$M,Raw_Data!$A:$A,A8)</f>
        <v>230127.28</v>
      </c>
      <c r="D8" s="14" t="n">
        <f aca="false">SUMIFS(Raw_Data!$Q:$Q,Raw_Data!$A:$A,A8)</f>
        <v>147854.86</v>
      </c>
      <c r="E8" s="15" t="n">
        <f aca="false">IFERROR(B8/SUMIFS(Raw_Data!$I:$I,Raw_Data!$A:$A,A8),0)</f>
        <v>0.738078882164552</v>
      </c>
      <c r="F8" s="15" t="n">
        <f aca="false">IFERROR(C8/SUMIFS(Raw_Data!$I:$I,Raw_Data!$A:$A,A8),0)</f>
        <v>0.432318006161032</v>
      </c>
      <c r="G8" s="15" t="n">
        <f aca="false">IFERROR(D8/SUMIFS(Raw_Data!$I:$I,Raw_Data!$A:$A,A8),0)</f>
        <v>0.277760716923341</v>
      </c>
    </row>
    <row r="9" customFormat="false" ht="15" hidden="false" customHeight="false" outlineLevel="0" collapsed="false">
      <c r="A9" s="19" t="n">
        <v>45413</v>
      </c>
      <c r="B9" s="14" t="n">
        <f aca="false">SUMIFS(Raw_Data!$K:$K,Raw_Data!$A:$A,A9)</f>
        <v>411898.73</v>
      </c>
      <c r="C9" s="14" t="n">
        <f aca="false">SUMIFS(Raw_Data!$M:$M,Raw_Data!$A:$A,A9)</f>
        <v>257375.06</v>
      </c>
      <c r="D9" s="14" t="n">
        <f aca="false">SUMIFS(Raw_Data!$Q:$Q,Raw_Data!$A:$A,A9)</f>
        <v>167455.66</v>
      </c>
      <c r="E9" s="15" t="n">
        <f aca="false">IFERROR(B9/SUMIFS(Raw_Data!$I:$I,Raw_Data!$A:$A,A9),0)</f>
        <v>0.72739816045577</v>
      </c>
      <c r="F9" s="15" t="n">
        <f aca="false">IFERROR(C9/SUMIFS(Raw_Data!$I:$I,Raw_Data!$A:$A,A9),0)</f>
        <v>0.45451498525182</v>
      </c>
      <c r="G9" s="15" t="n">
        <f aca="false">IFERROR(D9/SUMIFS(Raw_Data!$I:$I,Raw_Data!$A:$A,A9),0)</f>
        <v>0.29572059870616</v>
      </c>
    </row>
    <row r="10" customFormat="false" ht="15" hidden="false" customHeight="false" outlineLevel="0" collapsed="false">
      <c r="A10" s="19" t="n">
        <v>45444</v>
      </c>
      <c r="B10" s="14" t="n">
        <f aca="false">SUMIFS(Raw_Data!$K:$K,Raw_Data!$A:$A,A10)</f>
        <v>409257.31</v>
      </c>
      <c r="C10" s="14" t="n">
        <f aca="false">SUMIFS(Raw_Data!$M:$M,Raw_Data!$A:$A,A10)</f>
        <v>242819.6</v>
      </c>
      <c r="D10" s="14" t="n">
        <f aca="false">SUMIFS(Raw_Data!$Q:$Q,Raw_Data!$A:$A,A10)</f>
        <v>157221.63</v>
      </c>
      <c r="E10" s="15" t="n">
        <f aca="false">IFERROR(B10/SUMIFS(Raw_Data!$I:$I,Raw_Data!$A:$A,A10),0)</f>
        <v>0.72478021532167</v>
      </c>
      <c r="F10" s="15" t="n">
        <f aca="false">IFERROR(C10/SUMIFS(Raw_Data!$I:$I,Raw_Data!$A:$A,A10),0)</f>
        <v>0.430024919951514</v>
      </c>
      <c r="G10" s="15" t="n">
        <f aca="false">IFERROR(D10/SUMIFS(Raw_Data!$I:$I,Raw_Data!$A:$A,A10),0)</f>
        <v>0.278433943781295</v>
      </c>
    </row>
    <row r="11" customFormat="false" ht="15" hidden="false" customHeight="false" outlineLevel="0" collapsed="false">
      <c r="A11" s="19" t="n">
        <v>45474</v>
      </c>
      <c r="B11" s="14" t="n">
        <f aca="false">SUMIFS(Raw_Data!$K:$K,Raw_Data!$A:$A,A11)</f>
        <v>395710.24</v>
      </c>
      <c r="C11" s="14" t="n">
        <f aca="false">SUMIFS(Raw_Data!$M:$M,Raw_Data!$A:$A,A11)</f>
        <v>222138.65</v>
      </c>
      <c r="D11" s="14" t="n">
        <f aca="false">SUMIFS(Raw_Data!$Q:$Q,Raw_Data!$A:$A,A11)</f>
        <v>140928.15</v>
      </c>
      <c r="E11" s="15" t="n">
        <f aca="false">IFERROR(B11/SUMIFS(Raw_Data!$I:$I,Raw_Data!$A:$A,A11),0)</f>
        <v>0.721391435276219</v>
      </c>
      <c r="F11" s="15" t="n">
        <f aca="false">IFERROR(C11/SUMIFS(Raw_Data!$I:$I,Raw_Data!$A:$A,A11),0)</f>
        <v>0.404965308842707</v>
      </c>
      <c r="G11" s="15" t="n">
        <f aca="false">IFERROR(D11/SUMIFS(Raw_Data!$I:$I,Raw_Data!$A:$A,A11),0)</f>
        <v>0.256916172801902</v>
      </c>
    </row>
    <row r="12" customFormat="false" ht="15" hidden="false" customHeight="false" outlineLevel="0" collapsed="false">
      <c r="A12" s="19" t="n">
        <v>45505</v>
      </c>
      <c r="B12" s="14" t="n">
        <f aca="false">SUMIFS(Raw_Data!$K:$K,Raw_Data!$A:$A,A12)</f>
        <v>413269.38</v>
      </c>
      <c r="C12" s="14" t="n">
        <f aca="false">SUMIFS(Raw_Data!$M:$M,Raw_Data!$A:$A,A12)</f>
        <v>244981.9</v>
      </c>
      <c r="D12" s="14" t="n">
        <f aca="false">SUMIFS(Raw_Data!$Q:$Q,Raw_Data!$A:$A,A12)</f>
        <v>155252.16</v>
      </c>
      <c r="E12" s="15" t="n">
        <f aca="false">IFERROR(B12/SUMIFS(Raw_Data!$I:$I,Raw_Data!$A:$A,A12),0)</f>
        <v>0.714265112613889</v>
      </c>
      <c r="F12" s="15" t="n">
        <f aca="false">IFERROR(C12/SUMIFS(Raw_Data!$I:$I,Raw_Data!$A:$A,A12),0)</f>
        <v>0.423409119717179</v>
      </c>
      <c r="G12" s="15" t="n">
        <f aca="false">IFERROR(D12/SUMIFS(Raw_Data!$I:$I,Raw_Data!$A:$A,A12),0)</f>
        <v>0.268326682092802</v>
      </c>
    </row>
    <row r="13" customFormat="false" ht="15" hidden="false" customHeight="false" outlineLevel="0" collapsed="false">
      <c r="A13" s="19" t="n">
        <v>45536</v>
      </c>
      <c r="B13" s="14" t="n">
        <f aca="false">SUMIFS(Raw_Data!$K:$K,Raw_Data!$A:$A,A13)</f>
        <v>431195.32</v>
      </c>
      <c r="C13" s="14" t="n">
        <f aca="false">SUMIFS(Raw_Data!$M:$M,Raw_Data!$A:$A,A13)</f>
        <v>251104.78</v>
      </c>
      <c r="D13" s="14" t="n">
        <f aca="false">SUMIFS(Raw_Data!$Q:$Q,Raw_Data!$A:$A,A13)</f>
        <v>162799.75</v>
      </c>
      <c r="E13" s="15" t="n">
        <f aca="false">IFERROR(B13/SUMIFS(Raw_Data!$I:$I,Raw_Data!$A:$A,A13),0)</f>
        <v>0.731762302492674</v>
      </c>
      <c r="F13" s="15" t="n">
        <f aca="false">IFERROR(C13/SUMIFS(Raw_Data!$I:$I,Raw_Data!$A:$A,A13),0)</f>
        <v>0.42613869737667</v>
      </c>
      <c r="G13" s="15" t="n">
        <f aca="false">IFERROR(D13/SUMIFS(Raw_Data!$I:$I,Raw_Data!$A:$A,A13),0)</f>
        <v>0.276280178331322</v>
      </c>
    </row>
    <row r="14" customFormat="false" ht="15" hidden="false" customHeight="false" outlineLevel="0" collapsed="false">
      <c r="A14" s="19" t="n">
        <v>45566</v>
      </c>
      <c r="B14" s="14" t="n">
        <f aca="false">SUMIFS(Raw_Data!$K:$K,Raw_Data!$A:$A,A14)</f>
        <v>413580.5</v>
      </c>
      <c r="C14" s="14" t="n">
        <f aca="false">SUMIFS(Raw_Data!$M:$M,Raw_Data!$A:$A,A14)</f>
        <v>239327.79</v>
      </c>
      <c r="D14" s="14" t="n">
        <f aca="false">SUMIFS(Raw_Data!$Q:$Q,Raw_Data!$A:$A,A14)</f>
        <v>153975.16</v>
      </c>
      <c r="E14" s="15" t="n">
        <f aca="false">IFERROR(B14/SUMIFS(Raw_Data!$I:$I,Raw_Data!$A:$A,A14),0)</f>
        <v>0.729807496962183</v>
      </c>
      <c r="F14" s="15" t="n">
        <f aca="false">IFERROR(C14/SUMIFS(Raw_Data!$I:$I,Raw_Data!$A:$A,A14),0)</f>
        <v>0.422319754856409</v>
      </c>
      <c r="G14" s="15" t="n">
        <f aca="false">IFERROR(D14/SUMIFS(Raw_Data!$I:$I,Raw_Data!$A:$A,A14),0)</f>
        <v>0.27170581329137</v>
      </c>
    </row>
    <row r="15" customFormat="false" ht="15" hidden="false" customHeight="false" outlineLevel="0" collapsed="false">
      <c r="A15" s="19" t="n">
        <v>45597</v>
      </c>
      <c r="B15" s="14" t="n">
        <f aca="false">SUMIFS(Raw_Data!$K:$K,Raw_Data!$A:$A,A15)</f>
        <v>426846.19</v>
      </c>
      <c r="C15" s="14" t="n">
        <f aca="false">SUMIFS(Raw_Data!$M:$M,Raw_Data!$A:$A,A15)</f>
        <v>238569.08</v>
      </c>
      <c r="D15" s="14" t="n">
        <f aca="false">SUMIFS(Raw_Data!$Q:$Q,Raw_Data!$A:$A,A15)</f>
        <v>153951.83</v>
      </c>
      <c r="E15" s="15" t="n">
        <f aca="false">IFERROR(B15/SUMIFS(Raw_Data!$I:$I,Raw_Data!$A:$A,A15),0)</f>
        <v>0.732674924159272</v>
      </c>
      <c r="F15" s="15" t="n">
        <f aca="false">IFERROR(C15/SUMIFS(Raw_Data!$I:$I,Raw_Data!$A:$A,A15),0)</f>
        <v>0.40950015881774</v>
      </c>
      <c r="G15" s="15" t="n">
        <f aca="false">IFERROR(D15/SUMIFS(Raw_Data!$I:$I,Raw_Data!$A:$A,A15),0)</f>
        <v>0.264255949829214</v>
      </c>
    </row>
    <row r="16" customFormat="false" ht="15" hidden="false" customHeight="false" outlineLevel="0" collapsed="false">
      <c r="A16" s="19" t="n">
        <v>45627</v>
      </c>
      <c r="B16" s="14" t="n">
        <f aca="false">SUMIFS(Raw_Data!$K:$K,Raw_Data!$A:$A,A16)</f>
        <v>454802.26</v>
      </c>
      <c r="C16" s="14" t="n">
        <f aca="false">SUMIFS(Raw_Data!$M:$M,Raw_Data!$A:$A,A16)</f>
        <v>274575.87</v>
      </c>
      <c r="D16" s="14" t="n">
        <f aca="false">SUMIFS(Raw_Data!$Q:$Q,Raw_Data!$A:$A,A16)</f>
        <v>183185.58</v>
      </c>
      <c r="E16" s="15" t="n">
        <f aca="false">IFERROR(B16/SUMIFS(Raw_Data!$I:$I,Raw_Data!$A:$A,A16),0)</f>
        <v>0.731959866073898</v>
      </c>
      <c r="F16" s="15" t="n">
        <f aca="false">IFERROR(C16/SUMIFS(Raw_Data!$I:$I,Raw_Data!$A:$A,A16),0)</f>
        <v>0.441903074607246</v>
      </c>
      <c r="G16" s="15" t="n">
        <f aca="false">IFERROR(D16/SUMIFS(Raw_Data!$I:$I,Raw_Data!$A:$A,A16),0)</f>
        <v>0.2948193190673</v>
      </c>
    </row>
    <row r="17" customFormat="false" ht="15" hidden="false" customHeight="false" outlineLevel="0" collapsed="false">
      <c r="A17" s="19" t="n">
        <v>45658</v>
      </c>
      <c r="B17" s="14" t="n">
        <f aca="false">SUMIFS(Raw_Data!$K:$K,Raw_Data!$A:$A,A17)</f>
        <v>433146.73</v>
      </c>
      <c r="C17" s="14" t="n">
        <f aca="false">SUMIFS(Raw_Data!$M:$M,Raw_Data!$A:$A,A17)</f>
        <v>249119.35</v>
      </c>
      <c r="D17" s="14" t="n">
        <f aca="false">SUMIFS(Raw_Data!$Q:$Q,Raw_Data!$A:$A,A17)</f>
        <v>160196.87</v>
      </c>
      <c r="E17" s="15" t="n">
        <f aca="false">IFERROR(B17/SUMIFS(Raw_Data!$I:$I,Raw_Data!$A:$A,A17),0)</f>
        <v>0.744761825210001</v>
      </c>
      <c r="F17" s="15" t="n">
        <f aca="false">IFERROR(C17/SUMIFS(Raw_Data!$I:$I,Raw_Data!$A:$A,A17),0)</f>
        <v>0.428341180830637</v>
      </c>
      <c r="G17" s="15" t="n">
        <f aca="false">IFERROR(D17/SUMIFS(Raw_Data!$I:$I,Raw_Data!$A:$A,A17),0)</f>
        <v>0.275445951754338</v>
      </c>
    </row>
    <row r="18" customFormat="false" ht="15" hidden="false" customHeight="false" outlineLevel="0" collapsed="false">
      <c r="A18" s="19" t="n">
        <v>45689</v>
      </c>
      <c r="B18" s="14" t="n">
        <f aca="false">SUMIFS(Raw_Data!$K:$K,Raw_Data!$A:$A,A18)</f>
        <v>476932.32</v>
      </c>
      <c r="C18" s="14" t="n">
        <f aca="false">SUMIFS(Raw_Data!$M:$M,Raw_Data!$A:$A,A18)</f>
        <v>293122.62</v>
      </c>
      <c r="D18" s="14" t="n">
        <f aca="false">SUMIFS(Raw_Data!$Q:$Q,Raw_Data!$A:$A,A18)</f>
        <v>192537.22</v>
      </c>
      <c r="E18" s="15" t="n">
        <f aca="false">IFERROR(B18/SUMIFS(Raw_Data!$I:$I,Raw_Data!$A:$A,A18),0)</f>
        <v>0.722221290082988</v>
      </c>
      <c r="F18" s="15" t="n">
        <f aca="false">IFERROR(C18/SUMIFS(Raw_Data!$I:$I,Raw_Data!$A:$A,A18),0)</f>
        <v>0.443877229307725</v>
      </c>
      <c r="G18" s="15" t="n">
        <f aca="false">IFERROR(D18/SUMIFS(Raw_Data!$I:$I,Raw_Data!$A:$A,A18),0)</f>
        <v>0.291560193315043</v>
      </c>
    </row>
    <row r="19" customFormat="false" ht="15" hidden="false" customHeight="false" outlineLevel="0" collapsed="false">
      <c r="A19" s="19" t="n">
        <v>45717</v>
      </c>
      <c r="B19" s="14" t="n">
        <f aca="false">SUMIFS(Raw_Data!$K:$K,Raw_Data!$A:$A,A19)</f>
        <v>459275.22</v>
      </c>
      <c r="C19" s="14" t="n">
        <f aca="false">SUMIFS(Raw_Data!$M:$M,Raw_Data!$A:$A,A19)</f>
        <v>269527.04</v>
      </c>
      <c r="D19" s="14" t="n">
        <f aca="false">SUMIFS(Raw_Data!$Q:$Q,Raw_Data!$A:$A,A19)</f>
        <v>172987.59</v>
      </c>
      <c r="E19" s="15" t="n">
        <f aca="false">IFERROR(B19/SUMIFS(Raw_Data!$I:$I,Raw_Data!$A:$A,A19),0)</f>
        <v>0.712908060601665</v>
      </c>
      <c r="F19" s="15" t="n">
        <f aca="false">IFERROR(C19/SUMIFS(Raw_Data!$I:$I,Raw_Data!$A:$A,A19),0)</f>
        <v>0.418372233028613</v>
      </c>
      <c r="G19" s="15" t="n">
        <f aca="false">IFERROR(D19/SUMIFS(Raw_Data!$I:$I,Raw_Data!$A:$A,A19),0)</f>
        <v>0.26851927107031</v>
      </c>
    </row>
    <row r="20" customFormat="false" ht="15" hidden="false" customHeight="false" outlineLevel="0" collapsed="false">
      <c r="A20" s="19" t="n">
        <v>45748</v>
      </c>
      <c r="B20" s="14" t="n">
        <f aca="false">SUMIFS(Raw_Data!$K:$K,Raw_Data!$A:$A,A20)</f>
        <v>463932</v>
      </c>
      <c r="C20" s="14" t="n">
        <f aca="false">SUMIFS(Raw_Data!$M:$M,Raw_Data!$A:$A,A20)</f>
        <v>279172.54</v>
      </c>
      <c r="D20" s="14" t="n">
        <f aca="false">SUMIFS(Raw_Data!$Q:$Q,Raw_Data!$A:$A,A20)</f>
        <v>182288.45</v>
      </c>
      <c r="E20" s="15" t="n">
        <f aca="false">IFERROR(B20/SUMIFS(Raw_Data!$I:$I,Raw_Data!$A:$A,A20),0)</f>
        <v>0.717090505572826</v>
      </c>
      <c r="F20" s="15" t="n">
        <f aca="false">IFERROR(C20/SUMIFS(Raw_Data!$I:$I,Raw_Data!$A:$A,A20),0)</f>
        <v>0.431511466875857</v>
      </c>
      <c r="G20" s="15" t="n">
        <f aca="false">IFERROR(D20/SUMIFS(Raw_Data!$I:$I,Raw_Data!$A:$A,A20),0)</f>
        <v>0.281759647471153</v>
      </c>
    </row>
    <row r="21" customFormat="false" ht="15" hidden="false" customHeight="false" outlineLevel="0" collapsed="false">
      <c r="A21" s="19" t="n">
        <v>45778</v>
      </c>
      <c r="B21" s="14" t="n">
        <f aca="false">SUMIFS(Raw_Data!$K:$K,Raw_Data!$A:$A,A21)</f>
        <v>479273.41</v>
      </c>
      <c r="C21" s="14" t="n">
        <f aca="false">SUMIFS(Raw_Data!$M:$M,Raw_Data!$A:$A,A21)</f>
        <v>277953.42</v>
      </c>
      <c r="D21" s="14" t="n">
        <f aca="false">SUMIFS(Raw_Data!$Q:$Q,Raw_Data!$A:$A,A21)</f>
        <v>179247.15</v>
      </c>
      <c r="E21" s="15" t="n">
        <f aca="false">IFERROR(B21/SUMIFS(Raw_Data!$I:$I,Raw_Data!$A:$A,A21),0)</f>
        <v>0.733179002803491</v>
      </c>
      <c r="F21" s="15" t="n">
        <f aca="false">IFERROR(C21/SUMIFS(Raw_Data!$I:$I,Raw_Data!$A:$A,A21),0)</f>
        <v>0.425205335930111</v>
      </c>
      <c r="G21" s="15" t="n">
        <f aca="false">IFERROR(D21/SUMIFS(Raw_Data!$I:$I,Raw_Data!$A:$A,A21),0)</f>
        <v>0.274207256130416</v>
      </c>
    </row>
    <row r="22" customFormat="false" ht="15" hidden="false" customHeight="false" outlineLevel="0" collapsed="false">
      <c r="A22" s="19" t="n">
        <v>45809</v>
      </c>
      <c r="B22" s="14" t="n">
        <f aca="false">SUMIFS(Raw_Data!$K:$K,Raw_Data!$A:$A,A22)</f>
        <v>483957.77</v>
      </c>
      <c r="C22" s="14" t="n">
        <f aca="false">SUMIFS(Raw_Data!$M:$M,Raw_Data!$A:$A,A22)</f>
        <v>295161.53</v>
      </c>
      <c r="D22" s="14" t="n">
        <f aca="false">SUMIFS(Raw_Data!$Q:$Q,Raw_Data!$A:$A,A22)</f>
        <v>194023.96</v>
      </c>
      <c r="E22" s="15" t="n">
        <f aca="false">IFERROR(B22/SUMIFS(Raw_Data!$I:$I,Raw_Data!$A:$A,A22),0)</f>
        <v>0.745147668436583</v>
      </c>
      <c r="F22" s="15" t="n">
        <f aca="false">IFERROR(C22/SUMIFS(Raw_Data!$I:$I,Raw_Data!$A:$A,A22),0)</f>
        <v>0.454458920851037</v>
      </c>
      <c r="G22" s="15" t="n">
        <f aca="false">IFERROR(D22/SUMIFS(Raw_Data!$I:$I,Raw_Data!$A:$A,A22),0)</f>
        <v>0.29873784527694</v>
      </c>
    </row>
    <row r="23" customFormat="false" ht="15" hidden="false" customHeight="false" outlineLevel="0" collapsed="false">
      <c r="A23" s="19" t="n">
        <v>45839</v>
      </c>
      <c r="B23" s="14" t="n">
        <f aca="false">SUMIFS(Raw_Data!$K:$K,Raw_Data!$A:$A,A23)</f>
        <v>482607.34</v>
      </c>
      <c r="C23" s="14" t="n">
        <f aca="false">SUMIFS(Raw_Data!$M:$M,Raw_Data!$A:$A,A23)</f>
        <v>287431.06</v>
      </c>
      <c r="D23" s="14" t="n">
        <f aca="false">SUMIFS(Raw_Data!$Q:$Q,Raw_Data!$A:$A,A23)</f>
        <v>189752.62</v>
      </c>
      <c r="E23" s="15" t="n">
        <f aca="false">IFERROR(B23/SUMIFS(Raw_Data!$I:$I,Raw_Data!$A:$A,A23),0)</f>
        <v>0.728821422469244</v>
      </c>
      <c r="F23" s="15" t="n">
        <f aca="false">IFERROR(C23/SUMIFS(Raw_Data!$I:$I,Raw_Data!$A:$A,A23),0)</f>
        <v>0.434071131224491</v>
      </c>
      <c r="G23" s="15" t="n">
        <f aca="false">IFERROR(D23/SUMIFS(Raw_Data!$I:$I,Raw_Data!$A:$A,A23),0)</f>
        <v>0.286559616821547</v>
      </c>
    </row>
    <row r="24" customFormat="false" ht="15" hidden="false" customHeight="false" outlineLevel="0" collapsed="false">
      <c r="A24" s="19" t="n">
        <v>45870</v>
      </c>
      <c r="B24" s="14" t="n">
        <f aca="false">SUMIFS(Raw_Data!$K:$K,Raw_Data!$A:$A,A24)</f>
        <v>477997.41</v>
      </c>
      <c r="C24" s="14" t="n">
        <f aca="false">SUMIFS(Raw_Data!$M:$M,Raw_Data!$A:$A,A24)</f>
        <v>282188.07</v>
      </c>
      <c r="D24" s="14" t="n">
        <f aca="false">SUMIFS(Raw_Data!$Q:$Q,Raw_Data!$A:$A,A24)</f>
        <v>187169.5</v>
      </c>
      <c r="E24" s="15" t="n">
        <f aca="false">IFERROR(B24/SUMIFS(Raw_Data!$I:$I,Raw_Data!$A:$A,A24),0)</f>
        <v>0.728231891985501</v>
      </c>
      <c r="F24" s="15" t="n">
        <f aca="false">IFERROR(C24/SUMIFS(Raw_Data!$I:$I,Raw_Data!$A:$A,A24),0)</f>
        <v>0.429915199983692</v>
      </c>
      <c r="G24" s="15" t="n">
        <f aca="false">IFERROR(D24/SUMIFS(Raw_Data!$I:$I,Raw_Data!$A:$A,A24),0)</f>
        <v>0.285153844467442</v>
      </c>
    </row>
    <row r="25" customFormat="false" ht="15" hidden="false" customHeight="false" outlineLevel="0" collapsed="false">
      <c r="A25" s="19" t="n">
        <v>45901</v>
      </c>
      <c r="B25" s="14" t="n">
        <f aca="false">SUMIFS(Raw_Data!$K:$K,Raw_Data!$A:$A,A25)</f>
        <v>487480.27</v>
      </c>
      <c r="C25" s="14" t="n">
        <f aca="false">SUMIFS(Raw_Data!$M:$M,Raw_Data!$A:$A,A25)</f>
        <v>270431.35</v>
      </c>
      <c r="D25" s="14" t="n">
        <f aca="false">SUMIFS(Raw_Data!$Q:$Q,Raw_Data!$A:$A,A25)</f>
        <v>176576.88</v>
      </c>
      <c r="E25" s="15" t="n">
        <f aca="false">IFERROR(B25/SUMIFS(Raw_Data!$I:$I,Raw_Data!$A:$A,A25),0)</f>
        <v>0.72840414328264</v>
      </c>
      <c r="F25" s="15" t="n">
        <f aca="false">IFERROR(C25/SUMIFS(Raw_Data!$I:$I,Raw_Data!$A:$A,A25),0)</f>
        <v>0.404084694163146</v>
      </c>
      <c r="G25" s="15" t="n">
        <f aca="false">IFERROR(D25/SUMIFS(Raw_Data!$I:$I,Raw_Data!$A:$A,A25),0)</f>
        <v>0.263845203416995</v>
      </c>
    </row>
    <row r="26" customFormat="false" ht="15" hidden="false" customHeight="false" outlineLevel="0" collapsed="false">
      <c r="A26" s="19" t="n">
        <v>45931</v>
      </c>
      <c r="B26" s="14" t="n">
        <f aca="false">SUMIFS(Raw_Data!$K:$K,Raw_Data!$A:$A,A26)</f>
        <v>487146.4</v>
      </c>
      <c r="C26" s="14" t="n">
        <f aca="false">SUMIFS(Raw_Data!$M:$M,Raw_Data!$A:$A,A26)</f>
        <v>283871.68</v>
      </c>
      <c r="D26" s="14" t="n">
        <f aca="false">SUMIFS(Raw_Data!$Q:$Q,Raw_Data!$A:$A,A26)</f>
        <v>182739.48</v>
      </c>
      <c r="E26" s="15" t="n">
        <f aca="false">IFERROR(B26/SUMIFS(Raw_Data!$I:$I,Raw_Data!$A:$A,A26),0)</f>
        <v>0.71200955530754</v>
      </c>
      <c r="F26" s="15" t="n">
        <f aca="false">IFERROR(C26/SUMIFS(Raw_Data!$I:$I,Raw_Data!$A:$A,A26),0)</f>
        <v>0.414904736319932</v>
      </c>
      <c r="G26" s="15" t="n">
        <f aca="false">IFERROR(D26/SUMIFS(Raw_Data!$I:$I,Raw_Data!$A:$A,A26),0)</f>
        <v>0.267090664925228</v>
      </c>
    </row>
    <row r="27" customFormat="false" ht="15" hidden="false" customHeight="false" outlineLevel="0" collapsed="false">
      <c r="A27" s="19" t="n">
        <v>45962</v>
      </c>
      <c r="B27" s="14" t="n">
        <f aca="false">SUMIFS(Raw_Data!$K:$K,Raw_Data!$A:$A,A27)</f>
        <v>490279.17</v>
      </c>
      <c r="C27" s="14" t="n">
        <f aca="false">SUMIFS(Raw_Data!$M:$M,Raw_Data!$A:$A,A27)</f>
        <v>283836.88</v>
      </c>
      <c r="D27" s="14" t="n">
        <f aca="false">SUMIFS(Raw_Data!$Q:$Q,Raw_Data!$A:$A,A27)</f>
        <v>182595.4</v>
      </c>
      <c r="E27" s="15" t="n">
        <f aca="false">IFERROR(B27/SUMIFS(Raw_Data!$I:$I,Raw_Data!$A:$A,A27),0)</f>
        <v>0.726433043401188</v>
      </c>
      <c r="F27" s="15" t="n">
        <f aca="false">IFERROR(C27/SUMIFS(Raw_Data!$I:$I,Raw_Data!$A:$A,A27),0)</f>
        <v>0.420553230046257</v>
      </c>
      <c r="G27" s="15" t="n">
        <f aca="false">IFERROR(D27/SUMIFS(Raw_Data!$I:$I,Raw_Data!$A:$A,A27),0)</f>
        <v>0.270546538073517</v>
      </c>
    </row>
    <row r="28" customFormat="false" ht="15" hidden="false" customHeight="false" outlineLevel="0" collapsed="false">
      <c r="A28" s="19" t="n">
        <v>45992</v>
      </c>
      <c r="B28" s="14" t="n">
        <f aca="false">SUMIFS(Raw_Data!$K:$K,Raw_Data!$A:$A,A28)</f>
        <v>520783.86</v>
      </c>
      <c r="C28" s="14" t="n">
        <f aca="false">SUMIFS(Raw_Data!$M:$M,Raw_Data!$A:$A,A28)</f>
        <v>325355.69</v>
      </c>
      <c r="D28" s="14" t="n">
        <f aca="false">SUMIFS(Raw_Data!$Q:$Q,Raw_Data!$A:$A,A28)</f>
        <v>214192.59</v>
      </c>
      <c r="E28" s="15" t="n">
        <f aca="false">IFERROR(B28/SUMIFS(Raw_Data!$I:$I,Raw_Data!$A:$A,A28),0)</f>
        <v>0.729147570811167</v>
      </c>
      <c r="F28" s="15" t="n">
        <f aca="false">IFERROR(C28/SUMIFS(Raw_Data!$I:$I,Raw_Data!$A:$A,A28),0)</f>
        <v>0.455529307327403</v>
      </c>
      <c r="G28" s="15" t="n">
        <f aca="false">IFERROR(D28/SUMIFS(Raw_Data!$I:$I,Raw_Data!$A:$A,A28),0)</f>
        <v>0.299890259049603</v>
      </c>
    </row>
    <row r="31" customFormat="false" ht="15" hidden="false" customHeight="false" outlineLevel="0" collapsed="false">
      <c r="A31" s="18" t="s">
        <v>101</v>
      </c>
      <c r="B31" s="18"/>
      <c r="C31" s="18"/>
      <c r="D31" s="18"/>
      <c r="E31" s="18"/>
      <c r="F31" s="18"/>
      <c r="G31" s="18"/>
    </row>
    <row r="32" customFormat="false" ht="23.85" hidden="false" customHeight="false" outlineLevel="0" collapsed="false">
      <c r="A32" s="10" t="s">
        <v>6</v>
      </c>
      <c r="B32" s="10" t="s">
        <v>96</v>
      </c>
      <c r="C32" s="10" t="s">
        <v>10</v>
      </c>
      <c r="D32" s="10" t="s">
        <v>97</v>
      </c>
      <c r="E32" s="10" t="s">
        <v>98</v>
      </c>
      <c r="F32" s="10" t="s">
        <v>99</v>
      </c>
      <c r="G32" s="10" t="s">
        <v>100</v>
      </c>
    </row>
    <row r="33" customFormat="false" ht="15" hidden="false" customHeight="false" outlineLevel="0" collapsed="false">
      <c r="A33" s="12" t="s">
        <v>43</v>
      </c>
      <c r="B33" s="14" t="n">
        <f aca="false">SUMIFS(Raw_Data!$K:$K,Raw_Data!$F:$F,A33)</f>
        <v>5123690.68</v>
      </c>
      <c r="C33" s="14" t="n">
        <f aca="false">SUMIFS(Raw_Data!$M:$M,Raw_Data!$F:$F,A33)</f>
        <v>3115556.19</v>
      </c>
      <c r="D33" s="14" t="n">
        <f aca="false">SUMIFS(Raw_Data!$Q:$Q,Raw_Data!$F:$F,A33)</f>
        <v>2063164.06</v>
      </c>
      <c r="E33" s="15" t="n">
        <f aca="false">IFERROR(B33/SUMIFS(Raw_Data!$I:$I,Raw_Data!$F:$F,A33),0)</f>
        <v>0.744525850900165</v>
      </c>
      <c r="F33" s="15" t="n">
        <f aca="false">IFERROR(C33/SUMIFS(Raw_Data!$I:$I,Raw_Data!$F:$F,A33),0)</f>
        <v>0.452722903910161</v>
      </c>
      <c r="G33" s="15" t="n">
        <f aca="false">IFERROR(D33/SUMIFS(Raw_Data!$I:$I,Raw_Data!$F:$F,A33),0)</f>
        <v>0.299799319134179</v>
      </c>
    </row>
    <row r="34" customFormat="false" ht="15" hidden="false" customHeight="false" outlineLevel="0" collapsed="false">
      <c r="A34" s="12" t="s">
        <v>63</v>
      </c>
      <c r="B34" s="14" t="n">
        <f aca="false">SUMIFS(Raw_Data!$K:$K,Raw_Data!$F:$F,A34)</f>
        <v>3481999.18</v>
      </c>
      <c r="C34" s="14" t="n">
        <f aca="false">SUMIFS(Raw_Data!$M:$M,Raw_Data!$F:$F,A34)</f>
        <v>1964496.58</v>
      </c>
      <c r="D34" s="14" t="n">
        <f aca="false">SUMIFS(Raw_Data!$Q:$Q,Raw_Data!$F:$F,A34)</f>
        <v>1231223.36</v>
      </c>
      <c r="E34" s="15" t="n">
        <f aca="false">IFERROR(B34/SUMIFS(Raw_Data!$I:$I,Raw_Data!$F:$F,A34),0)</f>
        <v>0.695029687834828</v>
      </c>
      <c r="F34" s="15" t="n">
        <f aca="false">IFERROR(C34/SUMIFS(Raw_Data!$I:$I,Raw_Data!$F:$F,A34),0)</f>
        <v>0.392126297040077</v>
      </c>
      <c r="G34" s="15" t="n">
        <f aca="false">IFERROR(D34/SUMIFS(Raw_Data!$I:$I,Raw_Data!$F:$F,A34),0)</f>
        <v>0.245760192153678</v>
      </c>
    </row>
    <row r="35" customFormat="false" ht="15" hidden="false" customHeight="false" outlineLevel="0" collapsed="false">
      <c r="A35" s="12" t="s">
        <v>68</v>
      </c>
      <c r="B35" s="14" t="n">
        <f aca="false">SUMIFS(Raw_Data!$K:$K,Raw_Data!$F:$F,A35)</f>
        <v>2015814.04</v>
      </c>
      <c r="C35" s="14" t="n">
        <f aca="false">SUMIFS(Raw_Data!$M:$M,Raw_Data!$F:$F,A35)</f>
        <v>1162065.03</v>
      </c>
      <c r="D35" s="14" t="n">
        <f aca="false">SUMIFS(Raw_Data!$Q:$Q,Raw_Data!$F:$F,A35)</f>
        <v>745143.79</v>
      </c>
      <c r="E35" s="15" t="n">
        <f aca="false">IFERROR(B35/SUMIFS(Raw_Data!$I:$I,Raw_Data!$F:$F,A35),0)</f>
        <v>0.743738931758219</v>
      </c>
      <c r="F35" s="15" t="n">
        <f aca="false">IFERROR(C35/SUMIFS(Raw_Data!$I:$I,Raw_Data!$F:$F,A35),0)</f>
        <v>0.428746395697186</v>
      </c>
      <c r="G35" s="15" t="n">
        <f aca="false">IFERROR(D35/SUMIFS(Raw_Data!$I:$I,Raw_Data!$F:$F,A35),0)</f>
        <v>0.274922406225958</v>
      </c>
    </row>
    <row r="38" customFormat="false" ht="15" hidden="false" customHeight="false" outlineLevel="0" collapsed="false">
      <c r="A38" s="18" t="s">
        <v>102</v>
      </c>
      <c r="B38" s="18"/>
      <c r="C38" s="18"/>
      <c r="D38" s="18"/>
      <c r="E38" s="18"/>
      <c r="F38" s="18"/>
      <c r="G38" s="18"/>
    </row>
    <row r="39" customFormat="false" ht="23.85" hidden="false" customHeight="false" outlineLevel="0" collapsed="false">
      <c r="A39" s="10" t="s">
        <v>82</v>
      </c>
      <c r="B39" s="10" t="s">
        <v>96</v>
      </c>
      <c r="C39" s="10" t="s">
        <v>10</v>
      </c>
      <c r="D39" s="10" t="s">
        <v>97</v>
      </c>
      <c r="E39" s="10" t="s">
        <v>98</v>
      </c>
      <c r="F39" s="10" t="s">
        <v>99</v>
      </c>
      <c r="G39" s="10" t="s">
        <v>100</v>
      </c>
    </row>
    <row r="40" customFormat="false" ht="15" hidden="false" customHeight="false" outlineLevel="0" collapsed="false">
      <c r="A40" s="12" t="s">
        <v>44</v>
      </c>
      <c r="B40" s="14" t="n">
        <f aca="false">SUMIFS(Raw_Data!$K:$K,Raw_Data!$G:$G,A40)</f>
        <v>8968194.99</v>
      </c>
      <c r="C40" s="14" t="n">
        <f aca="false">SUMIFS(Raw_Data!$M:$M,Raw_Data!$G:$G,A40)</f>
        <v>5403811.41</v>
      </c>
      <c r="D40" s="14" t="n">
        <f aca="false">SUMIFS(Raw_Data!$Q:$Q,Raw_Data!$G:$G,A40)</f>
        <v>3597903.65</v>
      </c>
      <c r="E40" s="15" t="n">
        <f aca="false">IFERROR(B40/SUMIFS(Raw_Data!$I:$I,Raw_Data!$G:$G,A40),0)</f>
        <v>0.762242544111746</v>
      </c>
      <c r="F40" s="15" t="n">
        <f aca="false">IFERROR(C40/SUMIFS(Raw_Data!$I:$I,Raw_Data!$G:$G,A40),0)</f>
        <v>0.459291413896709</v>
      </c>
      <c r="G40" s="15" t="n">
        <f aca="false">IFERROR(D40/SUMIFS(Raw_Data!$I:$I,Raw_Data!$G:$G,A40),0)</f>
        <v>0.305800134219086</v>
      </c>
    </row>
    <row r="41" customFormat="false" ht="15" hidden="false" customHeight="false" outlineLevel="0" collapsed="false">
      <c r="A41" s="12" t="s">
        <v>61</v>
      </c>
      <c r="B41" s="14" t="n">
        <f aca="false">SUMIFS(Raw_Data!$K:$K,Raw_Data!$G:$G,A41)</f>
        <v>1073981.2</v>
      </c>
      <c r="C41" s="14" t="n">
        <f aca="false">SUMIFS(Raw_Data!$M:$M,Raw_Data!$G:$G,A41)</f>
        <v>659493.56</v>
      </c>
      <c r="D41" s="14" t="n">
        <f aca="false">SUMIFS(Raw_Data!$Q:$Q,Raw_Data!$G:$G,A41)</f>
        <v>399292.12</v>
      </c>
      <c r="E41" s="15" t="n">
        <f aca="false">IFERROR(B41/SUMIFS(Raw_Data!$I:$I,Raw_Data!$G:$G,A41),0)</f>
        <v>0.652910362409894</v>
      </c>
      <c r="F41" s="15" t="n">
        <f aca="false">IFERROR(C41/SUMIFS(Raw_Data!$I:$I,Raw_Data!$G:$G,A41),0)</f>
        <v>0.400928972747932</v>
      </c>
      <c r="G41" s="15" t="n">
        <f aca="false">IFERROR(D41/SUMIFS(Raw_Data!$I:$I,Raw_Data!$G:$G,A41),0)</f>
        <v>0.242743506847806</v>
      </c>
    </row>
    <row r="42" customFormat="false" ht="15" hidden="false" customHeight="false" outlineLevel="0" collapsed="false">
      <c r="A42" s="12" t="s">
        <v>66</v>
      </c>
      <c r="B42" s="14" t="n">
        <f aca="false">SUMIFS(Raw_Data!$K:$K,Raw_Data!$G:$G,A42)</f>
        <v>579327.71</v>
      </c>
      <c r="C42" s="14" t="n">
        <f aca="false">SUMIFS(Raw_Data!$M:$M,Raw_Data!$G:$G,A42)</f>
        <v>178812.83</v>
      </c>
      <c r="D42" s="14" t="n">
        <f aca="false">SUMIFS(Raw_Data!$Q:$Q,Raw_Data!$G:$G,A42)</f>
        <v>42335.44</v>
      </c>
      <c r="E42" s="15" t="n">
        <f aca="false">IFERROR(B42/SUMIFS(Raw_Data!$I:$I,Raw_Data!$G:$G,A42),0)</f>
        <v>0.486176803312236</v>
      </c>
      <c r="F42" s="15" t="n">
        <f aca="false">IFERROR(C42/SUMIFS(Raw_Data!$I:$I,Raw_Data!$G:$G,A42),0)</f>
        <v>0.150061266844312</v>
      </c>
      <c r="G42" s="15" t="n">
        <f aca="false">IFERROR(D42/SUMIFS(Raw_Data!$I:$I,Raw_Data!$G:$G,A42),0)</f>
        <v>0.0355282658342322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8" min="2" style="0" width="16"/>
  </cols>
  <sheetData>
    <row r="1" customFormat="false" ht="16.15" hidden="false" customHeight="false" outlineLevel="0" collapsed="false">
      <c r="A1" s="16" t="s">
        <v>103</v>
      </c>
    </row>
    <row r="3" customFormat="false" ht="15" hidden="false" customHeight="false" outlineLevel="0" collapsed="false">
      <c r="A3" s="18" t="s">
        <v>104</v>
      </c>
      <c r="B3" s="18"/>
      <c r="C3" s="18"/>
      <c r="D3" s="18"/>
      <c r="E3" s="18"/>
      <c r="F3" s="18"/>
      <c r="G3" s="18"/>
      <c r="H3" s="18"/>
    </row>
    <row r="4" customFormat="false" ht="23.85" hidden="false" customHeight="false" outlineLevel="0" collapsed="false">
      <c r="A4" s="10" t="s">
        <v>3</v>
      </c>
      <c r="B4" s="10" t="s">
        <v>73</v>
      </c>
      <c r="C4" s="10" t="s">
        <v>74</v>
      </c>
      <c r="D4" s="10" t="s">
        <v>105</v>
      </c>
      <c r="E4" s="10" t="s">
        <v>91</v>
      </c>
      <c r="F4" s="10" t="s">
        <v>92</v>
      </c>
      <c r="G4" s="10" t="s">
        <v>106</v>
      </c>
      <c r="H4" s="10" t="s">
        <v>107</v>
      </c>
    </row>
    <row r="5" customFormat="false" ht="15" hidden="false" customHeight="false" outlineLevel="0" collapsed="false">
      <c r="A5" s="19" t="n">
        <v>45292</v>
      </c>
      <c r="B5" s="14" t="n">
        <f aca="false">SUMIFS(Raw_Data!$V:$V,Raw_Data!$A:$A,A5)</f>
        <v>504838.69</v>
      </c>
      <c r="C5" s="14" t="n">
        <f aca="false">SUMIFS(Raw_Data!$U:$U,Raw_Data!$A:$A,A5)</f>
        <v>526000</v>
      </c>
      <c r="D5" s="15" t="n">
        <f aca="false">IFERROR((B5-C5)/C5,0)</f>
        <v>-0.0402306273764259</v>
      </c>
      <c r="E5" s="14" t="n">
        <f aca="false">SUMIFS(Raw_Data!$X:$X,Raw_Data!$A:$A,A5)</f>
        <v>301280.31</v>
      </c>
      <c r="F5" s="14" t="n">
        <f aca="false">SUMIFS(Raw_Data!$W:$W,Raw_Data!$A:$A,A5)</f>
        <v>298390</v>
      </c>
      <c r="G5" s="15" t="n">
        <f aca="false">IFERROR((E5-F5)/F5,0)</f>
        <v>0.00968635007875598</v>
      </c>
      <c r="H5" s="12" t="str">
        <f aca="false">IF(AND(D5&gt;=0,G5&lt;=0),"Favorable",IF(AND(D5&lt;0,G5&gt;0),"Unfavorable","Mixed"))</f>
        <v>Unfavorable</v>
      </c>
    </row>
    <row r="6" customFormat="false" ht="15" hidden="false" customHeight="false" outlineLevel="0" collapsed="false">
      <c r="A6" s="19" t="n">
        <v>45323</v>
      </c>
      <c r="B6" s="14" t="n">
        <f aca="false">SUMIFS(Raw_Data!$V:$V,Raw_Data!$A:$A,A6)</f>
        <v>524248.16</v>
      </c>
      <c r="C6" s="14" t="n">
        <f aca="false">SUMIFS(Raw_Data!$U:$U,Raw_Data!$A:$A,A6)</f>
        <v>532823</v>
      </c>
      <c r="D6" s="15" t="n">
        <f aca="false">IFERROR((B6-C6)/C6,0)</f>
        <v>-0.0160932242039101</v>
      </c>
      <c r="E6" s="14" t="n">
        <f aca="false">SUMIFS(Raw_Data!$X:$X,Raw_Data!$A:$A,A6)</f>
        <v>304271.02</v>
      </c>
      <c r="F6" s="14" t="n">
        <f aca="false">SUMIFS(Raw_Data!$W:$W,Raw_Data!$A:$A,A6)</f>
        <v>302183.49</v>
      </c>
      <c r="G6" s="15" t="n">
        <f aca="false">IFERROR((E6-F6)/F6,0)</f>
        <v>0.00690815371812679</v>
      </c>
      <c r="H6" s="12" t="str">
        <f aca="false">IF(AND(D6&gt;=0,G6&lt;=0),"Favorable",IF(AND(D6&lt;0,G6&gt;0),"Unfavorable","Mixed"))</f>
        <v>Unfavorable</v>
      </c>
    </row>
    <row r="7" customFormat="false" ht="15" hidden="false" customHeight="false" outlineLevel="0" collapsed="false">
      <c r="A7" s="19" t="n">
        <v>45352</v>
      </c>
      <c r="B7" s="14" t="n">
        <f aca="false">SUMIFS(Raw_Data!$V:$V,Raw_Data!$A:$A,A7)</f>
        <v>525250.21</v>
      </c>
      <c r="C7" s="14" t="n">
        <f aca="false">SUMIFS(Raw_Data!$U:$U,Raw_Data!$A:$A,A7)</f>
        <v>539740.74</v>
      </c>
      <c r="D7" s="15" t="n">
        <f aca="false">IFERROR((B7-C7)/C7,0)</f>
        <v>-0.0268472044559762</v>
      </c>
      <c r="E7" s="14" t="n">
        <f aca="false">SUMIFS(Raw_Data!$X:$X,Raw_Data!$A:$A,A7)</f>
        <v>304859.17</v>
      </c>
      <c r="F7" s="14" t="n">
        <f aca="false">SUMIFS(Raw_Data!$W:$W,Raw_Data!$A:$A,A7)</f>
        <v>306029.2</v>
      </c>
      <c r="G7" s="15" t="n">
        <f aca="false">IFERROR((E7-F7)/F7,0)</f>
        <v>-0.0038232626167698</v>
      </c>
      <c r="H7" s="12" t="str">
        <f aca="false">IF(AND(D7&gt;=0,G7&lt;=0),"Favorable",IF(AND(D7&lt;0,G7&gt;0),"Unfavorable","Mixed"))</f>
        <v>Mixed</v>
      </c>
    </row>
    <row r="8" customFormat="false" ht="15" hidden="false" customHeight="false" outlineLevel="0" collapsed="false">
      <c r="A8" s="19" t="n">
        <v>45383</v>
      </c>
      <c r="B8" s="14" t="n">
        <f aca="false">SUMIFS(Raw_Data!$V:$V,Raw_Data!$A:$A,A8)</f>
        <v>532310.19</v>
      </c>
      <c r="C8" s="14" t="n">
        <f aca="false">SUMIFS(Raw_Data!$U:$U,Raw_Data!$A:$A,A8)</f>
        <v>546754.65</v>
      </c>
      <c r="D8" s="15" t="n">
        <f aca="false">IFERROR((B8-C8)/C8,0)</f>
        <v>-0.0264185407476646</v>
      </c>
      <c r="E8" s="14" t="n">
        <f aca="false">SUMIFS(Raw_Data!$X:$X,Raw_Data!$A:$A,A8)</f>
        <v>302182.91</v>
      </c>
      <c r="F8" s="14" t="n">
        <f aca="false">SUMIFS(Raw_Data!$W:$W,Raw_Data!$A:$A,A8)</f>
        <v>309927.83</v>
      </c>
      <c r="G8" s="15" t="n">
        <f aca="false">IFERROR((E8-F8)/F8,0)</f>
        <v>-0.0249894306038925</v>
      </c>
      <c r="H8" s="12" t="str">
        <f aca="false">IF(AND(D8&gt;=0,G8&lt;=0),"Favorable",IF(AND(D8&lt;0,G8&gt;0),"Unfavorable","Mixed"))</f>
        <v>Mixed</v>
      </c>
    </row>
    <row r="9" customFormat="false" ht="15" hidden="false" customHeight="false" outlineLevel="0" collapsed="false">
      <c r="A9" s="19" t="n">
        <v>45413</v>
      </c>
      <c r="B9" s="14" t="n">
        <f aca="false">SUMIFS(Raw_Data!$V:$V,Raw_Data!$A:$A,A9)</f>
        <v>566263.09</v>
      </c>
      <c r="C9" s="14" t="n">
        <f aca="false">SUMIFS(Raw_Data!$U:$U,Raw_Data!$A:$A,A9)</f>
        <v>553866.1</v>
      </c>
      <c r="D9" s="15" t="n">
        <f aca="false">IFERROR((B9-C9)/C9,0)</f>
        <v>0.0223826480804656</v>
      </c>
      <c r="E9" s="14" t="n">
        <f aca="false">SUMIFS(Raw_Data!$X:$X,Raw_Data!$A:$A,A9)</f>
        <v>308888.03</v>
      </c>
      <c r="F9" s="14" t="n">
        <f aca="false">SUMIFS(Raw_Data!$W:$W,Raw_Data!$A:$A,A9)</f>
        <v>313880.24</v>
      </c>
      <c r="G9" s="15" t="n">
        <f aca="false">IFERROR((E9-F9)/F9,0)</f>
        <v>-0.0159048240819491</v>
      </c>
      <c r="H9" s="12" t="str">
        <f aca="false">IF(AND(D9&gt;=0,G9&lt;=0),"Favorable",IF(AND(D9&lt;0,G9&gt;0),"Unfavorable","Mixed"))</f>
        <v>Favorable</v>
      </c>
    </row>
    <row r="10" customFormat="false" ht="15" hidden="false" customHeight="false" outlineLevel="0" collapsed="false">
      <c r="A10" s="19" t="n">
        <v>45444</v>
      </c>
      <c r="B10" s="14" t="n">
        <f aca="false">SUMIFS(Raw_Data!$V:$V,Raw_Data!$A:$A,A10)</f>
        <v>564664.02</v>
      </c>
      <c r="C10" s="14" t="n">
        <f aca="false">SUMIFS(Raw_Data!$U:$U,Raw_Data!$A:$A,A10)</f>
        <v>561076.56</v>
      </c>
      <c r="D10" s="15" t="n">
        <f aca="false">IFERROR((B10-C10)/C10,0)</f>
        <v>0.00639388678079883</v>
      </c>
      <c r="E10" s="14" t="n">
        <f aca="false">SUMIFS(Raw_Data!$X:$X,Raw_Data!$A:$A,A10)</f>
        <v>321844.42</v>
      </c>
      <c r="F10" s="14" t="n">
        <f aca="false">SUMIFS(Raw_Data!$W:$W,Raw_Data!$A:$A,A10)</f>
        <v>317887.18</v>
      </c>
      <c r="G10" s="15" t="n">
        <f aca="false">IFERROR((E10-F10)/F10,0)</f>
        <v>0.0124485674445885</v>
      </c>
      <c r="H10" s="12" t="str">
        <f aca="false">IF(AND(D10&gt;=0,G10&lt;=0),"Favorable",IF(AND(D10&lt;0,G10&gt;0),"Unfavorable","Mixed"))</f>
        <v>Mixed</v>
      </c>
    </row>
    <row r="11" customFormat="false" ht="15" hidden="false" customHeight="false" outlineLevel="0" collapsed="false">
      <c r="A11" s="19" t="n">
        <v>45474</v>
      </c>
      <c r="B11" s="14" t="n">
        <f aca="false">SUMIFS(Raw_Data!$V:$V,Raw_Data!$A:$A,A11)</f>
        <v>548537.48</v>
      </c>
      <c r="C11" s="14" t="n">
        <f aca="false">SUMIFS(Raw_Data!$U:$U,Raw_Data!$A:$A,A11)</f>
        <v>568387.51</v>
      </c>
      <c r="D11" s="15" t="n">
        <f aca="false">IFERROR((B11-C11)/C11,0)</f>
        <v>-0.0349234099109603</v>
      </c>
      <c r="E11" s="14" t="n">
        <f aca="false">SUMIFS(Raw_Data!$X:$X,Raw_Data!$A:$A,A11)</f>
        <v>326398.83</v>
      </c>
      <c r="F11" s="14" t="n">
        <f aca="false">SUMIFS(Raw_Data!$W:$W,Raw_Data!$A:$A,A11)</f>
        <v>321949.48</v>
      </c>
      <c r="G11" s="15" t="n">
        <f aca="false">IFERROR((E11-F11)/F11,0)</f>
        <v>0.0138200254275919</v>
      </c>
      <c r="H11" s="12" t="str">
        <f aca="false">IF(AND(D11&gt;=0,G11&lt;=0),"Favorable",IF(AND(D11&lt;0,G11&gt;0),"Unfavorable","Mixed"))</f>
        <v>Unfavorable</v>
      </c>
    </row>
    <row r="12" customFormat="false" ht="15" hidden="false" customHeight="false" outlineLevel="0" collapsed="false">
      <c r="A12" s="19" t="n">
        <v>45505</v>
      </c>
      <c r="B12" s="14" t="n">
        <f aca="false">SUMIFS(Raw_Data!$V:$V,Raw_Data!$A:$A,A12)</f>
        <v>578593.82</v>
      </c>
      <c r="C12" s="14" t="n">
        <f aca="false">SUMIFS(Raw_Data!$U:$U,Raw_Data!$A:$A,A12)</f>
        <v>575800.41</v>
      </c>
      <c r="D12" s="15" t="n">
        <f aca="false">IFERROR((B12-C12)/C12,0)</f>
        <v>0.00485135118260863</v>
      </c>
      <c r="E12" s="14" t="n">
        <f aca="false">SUMIFS(Raw_Data!$X:$X,Raw_Data!$A:$A,A12)</f>
        <v>333611.92</v>
      </c>
      <c r="F12" s="14" t="n">
        <f aca="false">SUMIFS(Raw_Data!$W:$W,Raw_Data!$A:$A,A12)</f>
        <v>326067.96</v>
      </c>
      <c r="G12" s="15" t="n">
        <f aca="false">IFERROR((E12-F12)/F12,0)</f>
        <v>0.0231361584867155</v>
      </c>
      <c r="H12" s="12" t="str">
        <f aca="false">IF(AND(D12&gt;=0,G12&lt;=0),"Favorable",IF(AND(D12&lt;0,G12&gt;0),"Unfavorable","Mixed"))</f>
        <v>Mixed</v>
      </c>
    </row>
    <row r="13" customFormat="false" ht="15" hidden="false" customHeight="false" outlineLevel="0" collapsed="false">
      <c r="A13" s="19" t="n">
        <v>45536</v>
      </c>
      <c r="B13" s="14" t="n">
        <f aca="false">SUMIFS(Raw_Data!$V:$V,Raw_Data!$A:$A,A13)</f>
        <v>589255.99</v>
      </c>
      <c r="C13" s="14" t="n">
        <f aca="false">SUMIFS(Raw_Data!$U:$U,Raw_Data!$A:$A,A13)</f>
        <v>583316.78</v>
      </c>
      <c r="D13" s="15" t="n">
        <f aca="false">IFERROR((B13-C13)/C13,0)</f>
        <v>0.0101817917873029</v>
      </c>
      <c r="E13" s="14" t="n">
        <f aca="false">SUMIFS(Raw_Data!$X:$X,Raw_Data!$A:$A,A13)</f>
        <v>338151.21</v>
      </c>
      <c r="F13" s="14" t="n">
        <f aca="false">SUMIFS(Raw_Data!$W:$W,Raw_Data!$A:$A,A13)</f>
        <v>330243.42</v>
      </c>
      <c r="G13" s="15" t="n">
        <f aca="false">IFERROR((E13-F13)/F13,0)</f>
        <v>0.0239453370486535</v>
      </c>
      <c r="H13" s="12" t="str">
        <f aca="false">IF(AND(D13&gt;=0,G13&lt;=0),"Favorable",IF(AND(D13&lt;0,G13&gt;0),"Unfavorable","Mixed"))</f>
        <v>Mixed</v>
      </c>
    </row>
    <row r="14" customFormat="false" ht="15" hidden="false" customHeight="false" outlineLevel="0" collapsed="false">
      <c r="A14" s="19" t="n">
        <v>45566</v>
      </c>
      <c r="B14" s="14" t="n">
        <f aca="false">SUMIFS(Raw_Data!$V:$V,Raw_Data!$A:$A,A14)</f>
        <v>566698.07</v>
      </c>
      <c r="C14" s="14" t="n">
        <f aca="false">SUMIFS(Raw_Data!$U:$U,Raw_Data!$A:$A,A14)</f>
        <v>590938.16</v>
      </c>
      <c r="D14" s="15" t="n">
        <f aca="false">IFERROR((B14-C14)/C14,0)</f>
        <v>-0.0410196728537551</v>
      </c>
      <c r="E14" s="14" t="n">
        <f aca="false">SUMIFS(Raw_Data!$X:$X,Raw_Data!$A:$A,A14)</f>
        <v>327370.28</v>
      </c>
      <c r="F14" s="14" t="n">
        <f aca="false">SUMIFS(Raw_Data!$W:$W,Raw_Data!$A:$A,A14)</f>
        <v>334476.72</v>
      </c>
      <c r="G14" s="15" t="n">
        <f aca="false">IFERROR((E14-F14)/F14,0)</f>
        <v>-0.0212464413068868</v>
      </c>
      <c r="H14" s="12" t="str">
        <f aca="false">IF(AND(D14&gt;=0,G14&lt;=0),"Favorable",IF(AND(D14&lt;0,G14&gt;0),"Unfavorable","Mixed"))</f>
        <v>Mixed</v>
      </c>
    </row>
    <row r="15" customFormat="false" ht="15" hidden="false" customHeight="false" outlineLevel="0" collapsed="false">
      <c r="A15" s="19" t="n">
        <v>45597</v>
      </c>
      <c r="B15" s="14" t="n">
        <f aca="false">SUMIFS(Raw_Data!$V:$V,Raw_Data!$A:$A,A15)</f>
        <v>582586.05</v>
      </c>
      <c r="C15" s="14" t="n">
        <f aca="false">SUMIFS(Raw_Data!$U:$U,Raw_Data!$A:$A,A15)</f>
        <v>598666.1</v>
      </c>
      <c r="D15" s="15" t="n">
        <f aca="false">IFERROR((B15-C15)/C15,0)</f>
        <v>-0.0268597971390061</v>
      </c>
      <c r="E15" s="14" t="n">
        <f aca="false">SUMIFS(Raw_Data!$X:$X,Raw_Data!$A:$A,A15)</f>
        <v>344016.97</v>
      </c>
      <c r="F15" s="14" t="n">
        <f aca="false">SUMIFS(Raw_Data!$W:$W,Raw_Data!$A:$A,A15)</f>
        <v>338768.72</v>
      </c>
      <c r="G15" s="15" t="n">
        <f aca="false">IFERROR((E15-F15)/F15,0)</f>
        <v>0.0154921328037608</v>
      </c>
      <c r="H15" s="12" t="str">
        <f aca="false">IF(AND(D15&gt;=0,G15&lt;=0),"Favorable",IF(AND(D15&lt;0,G15&gt;0),"Unfavorable","Mixed"))</f>
        <v>Unfavorable</v>
      </c>
    </row>
    <row r="16" customFormat="false" ht="15" hidden="false" customHeight="false" outlineLevel="0" collapsed="false">
      <c r="A16" s="19" t="n">
        <v>45627</v>
      </c>
      <c r="B16" s="14" t="n">
        <f aca="false">SUMIFS(Raw_Data!$V:$V,Raw_Data!$A:$A,A16)</f>
        <v>621348.63</v>
      </c>
      <c r="C16" s="14" t="n">
        <f aca="false">SUMIFS(Raw_Data!$U:$U,Raw_Data!$A:$A,A16)</f>
        <v>606502.2</v>
      </c>
      <c r="D16" s="15" t="n">
        <f aca="false">IFERROR((B16-C16)/C16,0)</f>
        <v>0.0244787735312418</v>
      </c>
      <c r="E16" s="14" t="n">
        <f aca="false">SUMIFS(Raw_Data!$X:$X,Raw_Data!$A:$A,A16)</f>
        <v>346772.76</v>
      </c>
      <c r="F16" s="14" t="n">
        <f aca="false">SUMIFS(Raw_Data!$W:$W,Raw_Data!$A:$A,A16)</f>
        <v>343120.3</v>
      </c>
      <c r="G16" s="15" t="n">
        <f aca="false">IFERROR((E16-F16)/F16,0)</f>
        <v>0.0106448379766514</v>
      </c>
      <c r="H16" s="12" t="str">
        <f aca="false">IF(AND(D16&gt;=0,G16&lt;=0),"Favorable",IF(AND(D16&lt;0,G16&gt;0),"Unfavorable","Mixed"))</f>
        <v>Mixed</v>
      </c>
    </row>
    <row r="17" customFormat="false" ht="15" hidden="false" customHeight="false" outlineLevel="0" collapsed="false">
      <c r="A17" s="19" t="n">
        <v>45658</v>
      </c>
      <c r="B17" s="14" t="n">
        <f aca="false">SUMIFS(Raw_Data!$V:$V,Raw_Data!$A:$A,A17)</f>
        <v>581590.94</v>
      </c>
      <c r="C17" s="14" t="n">
        <f aca="false">SUMIFS(Raw_Data!$U:$U,Raw_Data!$A:$A,A17)</f>
        <v>614448.06</v>
      </c>
      <c r="D17" s="15" t="n">
        <f aca="false">IFERROR((B17-C17)/C17,0)</f>
        <v>-0.0534742025225045</v>
      </c>
      <c r="E17" s="14" t="n">
        <f aca="false">SUMIFS(Raw_Data!$X:$X,Raw_Data!$A:$A,A17)</f>
        <v>332471.59</v>
      </c>
      <c r="F17" s="14" t="n">
        <f aca="false">SUMIFS(Raw_Data!$W:$W,Raw_Data!$A:$A,A17)</f>
        <v>347532.35</v>
      </c>
      <c r="G17" s="15" t="n">
        <f aca="false">IFERROR((E17-F17)/F17,0)</f>
        <v>-0.0433362822194825</v>
      </c>
      <c r="H17" s="12" t="str">
        <f aca="false">IF(AND(D17&gt;=0,G17&lt;=0),"Favorable",IF(AND(D17&lt;0,G17&gt;0),"Unfavorable","Mixed"))</f>
        <v>Mixed</v>
      </c>
    </row>
    <row r="18" customFormat="false" ht="15" hidden="false" customHeight="false" outlineLevel="0" collapsed="false">
      <c r="A18" s="19" t="n">
        <v>45689</v>
      </c>
      <c r="B18" s="14" t="n">
        <f aca="false">SUMIFS(Raw_Data!$V:$V,Raw_Data!$A:$A,A18)</f>
        <v>660368.68</v>
      </c>
      <c r="C18" s="14" t="n">
        <f aca="false">SUMIFS(Raw_Data!$U:$U,Raw_Data!$A:$A,A18)</f>
        <v>622505.3</v>
      </c>
      <c r="D18" s="15" t="n">
        <f aca="false">IFERROR((B18-C18)/C18,0)</f>
        <v>0.0608241889667447</v>
      </c>
      <c r="E18" s="14" t="n">
        <f aca="false">SUMIFS(Raw_Data!$X:$X,Raw_Data!$A:$A,A18)</f>
        <v>367246.06</v>
      </c>
      <c r="F18" s="14" t="n">
        <f aca="false">SUMIFS(Raw_Data!$W:$W,Raw_Data!$A:$A,A18)</f>
        <v>352005.72</v>
      </c>
      <c r="G18" s="15" t="n">
        <f aca="false">IFERROR((E18-F18)/F18,0)</f>
        <v>0.0432957168991459</v>
      </c>
      <c r="H18" s="12" t="str">
        <f aca="false">IF(AND(D18&gt;=0,G18&lt;=0),"Favorable",IF(AND(D18&lt;0,G18&gt;0),"Unfavorable","Mixed"))</f>
        <v>Mixed</v>
      </c>
    </row>
    <row r="19" customFormat="false" ht="15" hidden="false" customHeight="false" outlineLevel="0" collapsed="false">
      <c r="A19" s="19" t="n">
        <v>45717</v>
      </c>
      <c r="B19" s="14" t="n">
        <f aca="false">SUMIFS(Raw_Data!$V:$V,Raw_Data!$A:$A,A19)</f>
        <v>644227.84</v>
      </c>
      <c r="C19" s="14" t="n">
        <f aca="false">SUMIFS(Raw_Data!$U:$U,Raw_Data!$A:$A,A19)</f>
        <v>630675.59</v>
      </c>
      <c r="D19" s="15" t="n">
        <f aca="false">IFERROR((B19-C19)/C19,0)</f>
        <v>0.0214884644576144</v>
      </c>
      <c r="E19" s="14" t="n">
        <f aca="false">SUMIFS(Raw_Data!$X:$X,Raw_Data!$A:$A,A19)</f>
        <v>374700.8</v>
      </c>
      <c r="F19" s="14" t="n">
        <f aca="false">SUMIFS(Raw_Data!$W:$W,Raw_Data!$A:$A,A19)</f>
        <v>356541.38</v>
      </c>
      <c r="G19" s="15" t="n">
        <f aca="false">IFERROR((E19-F19)/F19,0)</f>
        <v>0.0509321526718722</v>
      </c>
      <c r="H19" s="12" t="str">
        <f aca="false">IF(AND(D19&gt;=0,G19&lt;=0),"Favorable",IF(AND(D19&lt;0,G19&gt;0),"Unfavorable","Mixed"))</f>
        <v>Mixed</v>
      </c>
    </row>
    <row r="20" customFormat="false" ht="15" hidden="false" customHeight="false" outlineLevel="0" collapsed="false">
      <c r="A20" s="19" t="n">
        <v>45748</v>
      </c>
      <c r="B20" s="14" t="n">
        <f aca="false">SUMIFS(Raw_Data!$V:$V,Raw_Data!$A:$A,A20)</f>
        <v>646964.36</v>
      </c>
      <c r="C20" s="14" t="n">
        <f aca="false">SUMIFS(Raw_Data!$U:$U,Raw_Data!$A:$A,A20)</f>
        <v>638960.61</v>
      </c>
      <c r="D20" s="15" t="n">
        <f aca="false">IFERROR((B20-C20)/C20,0)</f>
        <v>0.0125262025150502</v>
      </c>
      <c r="E20" s="14" t="n">
        <f aca="false">SUMIFS(Raw_Data!$X:$X,Raw_Data!$A:$A,A20)</f>
        <v>367791.82</v>
      </c>
      <c r="F20" s="14" t="n">
        <f aca="false">SUMIFS(Raw_Data!$W:$W,Raw_Data!$A:$A,A20)</f>
        <v>361140.24</v>
      </c>
      <c r="G20" s="15" t="n">
        <f aca="false">IFERROR((E20-F20)/F20,0)</f>
        <v>0.0184182742969878</v>
      </c>
      <c r="H20" s="12" t="str">
        <f aca="false">IF(AND(D20&gt;=0,G20&lt;=0),"Favorable",IF(AND(D20&lt;0,G20&gt;0),"Unfavorable","Mixed"))</f>
        <v>Mixed</v>
      </c>
    </row>
    <row r="21" customFormat="false" ht="15" hidden="false" customHeight="false" outlineLevel="0" collapsed="false">
      <c r="A21" s="19" t="n">
        <v>45778</v>
      </c>
      <c r="B21" s="14" t="n">
        <f aca="false">SUMIFS(Raw_Data!$V:$V,Raw_Data!$A:$A,A21)</f>
        <v>653692.22</v>
      </c>
      <c r="C21" s="14" t="n">
        <f aca="false">SUMIFS(Raw_Data!$U:$U,Raw_Data!$A:$A,A21)</f>
        <v>647362.09</v>
      </c>
      <c r="D21" s="15" t="n">
        <f aca="false">IFERROR((B21-C21)/C21,0)</f>
        <v>0.00977834522253227</v>
      </c>
      <c r="E21" s="14" t="n">
        <f aca="false">SUMIFS(Raw_Data!$X:$X,Raw_Data!$A:$A,A21)</f>
        <v>375738.8</v>
      </c>
      <c r="F21" s="14" t="n">
        <f aca="false">SUMIFS(Raw_Data!$W:$W,Raw_Data!$A:$A,A21)</f>
        <v>365803.23</v>
      </c>
      <c r="G21" s="15" t="n">
        <f aca="false">IFERROR((E21-F21)/F21,0)</f>
        <v>0.0271609684802402</v>
      </c>
      <c r="H21" s="12" t="str">
        <f aca="false">IF(AND(D21&gt;=0,G21&lt;=0),"Favorable",IF(AND(D21&lt;0,G21&gt;0),"Unfavorable","Mixed"))</f>
        <v>Mixed</v>
      </c>
    </row>
    <row r="22" customFormat="false" ht="15" hidden="false" customHeight="false" outlineLevel="0" collapsed="false">
      <c r="A22" s="19" t="n">
        <v>45809</v>
      </c>
      <c r="B22" s="14" t="n">
        <f aca="false">SUMIFS(Raw_Data!$V:$V,Raw_Data!$A:$A,A22)</f>
        <v>649479.01</v>
      </c>
      <c r="C22" s="14" t="n">
        <f aca="false">SUMIFS(Raw_Data!$U:$U,Raw_Data!$A:$A,A22)</f>
        <v>655881.72</v>
      </c>
      <c r="D22" s="15" t="n">
        <f aca="false">IFERROR((B22-C22)/C22,0)</f>
        <v>-0.00976198879273532</v>
      </c>
      <c r="E22" s="14" t="n">
        <f aca="false">SUMIFS(Raw_Data!$X:$X,Raw_Data!$A:$A,A22)</f>
        <v>354317.48</v>
      </c>
      <c r="F22" s="14" t="n">
        <f aca="false">SUMIFS(Raw_Data!$W:$W,Raw_Data!$A:$A,A22)</f>
        <v>370531.3</v>
      </c>
      <c r="G22" s="15" t="n">
        <f aca="false">IFERROR((E22-F22)/F22,0)</f>
        <v>-0.0437583005808147</v>
      </c>
      <c r="H22" s="12" t="str">
        <f aca="false">IF(AND(D22&gt;=0,G22&lt;=0),"Favorable",IF(AND(D22&lt;0,G22&gt;0),"Unfavorable","Mixed"))</f>
        <v>Mixed</v>
      </c>
    </row>
    <row r="23" customFormat="false" ht="15" hidden="false" customHeight="false" outlineLevel="0" collapsed="false">
      <c r="A23" s="19" t="n">
        <v>45839</v>
      </c>
      <c r="B23" s="14" t="n">
        <f aca="false">SUMIFS(Raw_Data!$V:$V,Raw_Data!$A:$A,A23)</f>
        <v>662175.02</v>
      </c>
      <c r="C23" s="14" t="n">
        <f aca="false">SUMIFS(Raw_Data!$U:$U,Raw_Data!$A:$A,A23)</f>
        <v>664521.32</v>
      </c>
      <c r="D23" s="15" t="n">
        <f aca="false">IFERROR((B23-C23)/C23,0)</f>
        <v>-0.00353081222435429</v>
      </c>
      <c r="E23" s="14" t="n">
        <f aca="false">SUMIFS(Raw_Data!$X:$X,Raw_Data!$A:$A,A23)</f>
        <v>374743.96</v>
      </c>
      <c r="F23" s="14" t="n">
        <f aca="false">SUMIFS(Raw_Data!$W:$W,Raw_Data!$A:$A,A23)</f>
        <v>375325.45</v>
      </c>
      <c r="G23" s="15" t="n">
        <f aca="false">IFERROR((E23-F23)/F23,0)</f>
        <v>-0.0015492954181499</v>
      </c>
      <c r="H23" s="12" t="str">
        <f aca="false">IF(AND(D23&gt;=0,G23&lt;=0),"Favorable",IF(AND(D23&lt;0,G23&gt;0),"Unfavorable","Mixed"))</f>
        <v>Mixed</v>
      </c>
    </row>
    <row r="24" customFormat="false" ht="15" hidden="false" customHeight="false" outlineLevel="0" collapsed="false">
      <c r="A24" s="19" t="n">
        <v>45870</v>
      </c>
      <c r="B24" s="14" t="n">
        <f aca="false">SUMIFS(Raw_Data!$V:$V,Raw_Data!$A:$A,A24)</f>
        <v>656380.77</v>
      </c>
      <c r="C24" s="14" t="n">
        <f aca="false">SUMIFS(Raw_Data!$U:$U,Raw_Data!$A:$A,A24)</f>
        <v>673282.67</v>
      </c>
      <c r="D24" s="15" t="n">
        <f aca="false">IFERROR((B24-C24)/C24,0)</f>
        <v>-0.0251037205517261</v>
      </c>
      <c r="E24" s="14" t="n">
        <f aca="false">SUMIFS(Raw_Data!$X:$X,Raw_Data!$A:$A,A24)</f>
        <v>374192.7</v>
      </c>
      <c r="F24" s="14" t="n">
        <f aca="false">SUMIFS(Raw_Data!$W:$W,Raw_Data!$A:$A,A24)</f>
        <v>380186.66</v>
      </c>
      <c r="G24" s="15" t="n">
        <f aca="false">IFERROR((E24-F24)/F24,0)</f>
        <v>-0.0157658346034551</v>
      </c>
      <c r="H24" s="12" t="str">
        <f aca="false">IF(AND(D24&gt;=0,G24&lt;=0),"Favorable",IF(AND(D24&lt;0,G24&gt;0),"Unfavorable","Mixed"))</f>
        <v>Mixed</v>
      </c>
    </row>
    <row r="25" customFormat="false" ht="15" hidden="false" customHeight="false" outlineLevel="0" collapsed="false">
      <c r="A25" s="19" t="n">
        <v>45901</v>
      </c>
      <c r="B25" s="14" t="n">
        <f aca="false">SUMIFS(Raw_Data!$V:$V,Raw_Data!$A:$A,A25)</f>
        <v>669244.23</v>
      </c>
      <c r="C25" s="14" t="n">
        <f aca="false">SUMIFS(Raw_Data!$U:$U,Raw_Data!$A:$A,A25)</f>
        <v>682167.56</v>
      </c>
      <c r="D25" s="15" t="n">
        <f aca="false">IFERROR((B25-C25)/C25,0)</f>
        <v>-0.0189445097623817</v>
      </c>
      <c r="E25" s="14" t="n">
        <f aca="false">SUMIFS(Raw_Data!$X:$X,Raw_Data!$A:$A,A25)</f>
        <v>398812.88</v>
      </c>
      <c r="F25" s="14" t="n">
        <f aca="false">SUMIFS(Raw_Data!$W:$W,Raw_Data!$A:$A,A25)</f>
        <v>385115.9</v>
      </c>
      <c r="G25" s="15" t="n">
        <f aca="false">IFERROR((E25-F25)/F25,0)</f>
        <v>0.0355658647176085</v>
      </c>
      <c r="H25" s="12" t="str">
        <f aca="false">IF(AND(D25&gt;=0,G25&lt;=0),"Favorable",IF(AND(D25&lt;0,G25&gt;0),"Unfavorable","Mixed"))</f>
        <v>Unfavorable</v>
      </c>
    </row>
    <row r="26" customFormat="false" ht="15" hidden="false" customHeight="false" outlineLevel="0" collapsed="false">
      <c r="A26" s="19" t="n">
        <v>45931</v>
      </c>
      <c r="B26" s="14" t="n">
        <f aca="false">SUMIFS(Raw_Data!$V:$V,Raw_Data!$A:$A,A26)</f>
        <v>684185.2</v>
      </c>
      <c r="C26" s="14" t="n">
        <f aca="false">SUMIFS(Raw_Data!$U:$U,Raw_Data!$A:$A,A26)</f>
        <v>691177.87</v>
      </c>
      <c r="D26" s="15" t="n">
        <f aca="false">IFERROR((B26-C26)/C26,0)</f>
        <v>-0.0101170339843202</v>
      </c>
      <c r="E26" s="14" t="n">
        <f aca="false">SUMIFS(Raw_Data!$X:$X,Raw_Data!$A:$A,A26)</f>
        <v>400313.52</v>
      </c>
      <c r="F26" s="14" t="n">
        <f aca="false">SUMIFS(Raw_Data!$W:$W,Raw_Data!$A:$A,A26)</f>
        <v>390114.23</v>
      </c>
      <c r="G26" s="15" t="n">
        <f aca="false">IFERROR((E26-F26)/F26,0)</f>
        <v>0.0261443680226687</v>
      </c>
      <c r="H26" s="12" t="str">
        <f aca="false">IF(AND(D26&gt;=0,G26&lt;=0),"Favorable",IF(AND(D26&lt;0,G26&gt;0),"Unfavorable","Mixed"))</f>
        <v>Unfavorable</v>
      </c>
    </row>
    <row r="27" customFormat="false" ht="15" hidden="false" customHeight="false" outlineLevel="0" collapsed="false">
      <c r="A27" s="19" t="n">
        <v>45962</v>
      </c>
      <c r="B27" s="14" t="n">
        <f aca="false">SUMIFS(Raw_Data!$V:$V,Raw_Data!$A:$A,A27)</f>
        <v>674913.09</v>
      </c>
      <c r="C27" s="14" t="n">
        <f aca="false">SUMIFS(Raw_Data!$U:$U,Raw_Data!$A:$A,A27)</f>
        <v>700315.47</v>
      </c>
      <c r="D27" s="15" t="n">
        <f aca="false">IFERROR((B27-C27)/C27,0)</f>
        <v>-0.0362727671859084</v>
      </c>
      <c r="E27" s="14" t="n">
        <f aca="false">SUMIFS(Raw_Data!$X:$X,Raw_Data!$A:$A,A27)</f>
        <v>391076.21</v>
      </c>
      <c r="F27" s="14" t="n">
        <f aca="false">SUMIFS(Raw_Data!$W:$W,Raw_Data!$A:$A,A27)</f>
        <v>395182.67</v>
      </c>
      <c r="G27" s="15" t="n">
        <f aca="false">IFERROR((E27-F27)/F27,0)</f>
        <v>-0.0103912957519113</v>
      </c>
      <c r="H27" s="12" t="str">
        <f aca="false">IF(AND(D27&gt;=0,G27&lt;=0),"Favorable",IF(AND(D27&lt;0,G27&gt;0),"Unfavorable","Mixed"))</f>
        <v>Mixed</v>
      </c>
    </row>
    <row r="28" customFormat="false" ht="15" hidden="false" customHeight="false" outlineLevel="0" collapsed="false">
      <c r="A28" s="19" t="n">
        <v>45992</v>
      </c>
      <c r="B28" s="14" t="n">
        <f aca="false">SUMIFS(Raw_Data!$V:$V,Raw_Data!$A:$A,A28)</f>
        <v>714236.57</v>
      </c>
      <c r="C28" s="14" t="n">
        <f aca="false">SUMIFS(Raw_Data!$U:$U,Raw_Data!$A:$A,A28)</f>
        <v>709582.28</v>
      </c>
      <c r="D28" s="15" t="n">
        <f aca="false">IFERROR((B28-C28)/C28,0)</f>
        <v>0.00655919705322974</v>
      </c>
      <c r="E28" s="14" t="n">
        <f aca="false">SUMIFS(Raw_Data!$X:$X,Raw_Data!$A:$A,A28)</f>
        <v>388880.88</v>
      </c>
      <c r="F28" s="14" t="n">
        <f aca="false">SUMIFS(Raw_Data!$W:$W,Raw_Data!$A:$A,A28)</f>
        <v>400322.26</v>
      </c>
      <c r="G28" s="15" t="n">
        <f aca="false">IFERROR((E28-F28)/F28,0)</f>
        <v>-0.0285804241812584</v>
      </c>
      <c r="H28" s="12" t="str">
        <f aca="false">IF(AND(D28&gt;=0,G28&lt;=0),"Favorable",IF(AND(D28&lt;0,G28&gt;0),"Unfavorable","Mixed"))</f>
        <v>Favorable</v>
      </c>
    </row>
    <row r="31" customFormat="false" ht="15" hidden="false" customHeight="false" outlineLevel="0" collapsed="false">
      <c r="A31" s="18" t="s">
        <v>108</v>
      </c>
      <c r="B31" s="18"/>
      <c r="C31" s="18"/>
    </row>
    <row r="32" customFormat="false" ht="23.85" hidden="false" customHeight="false" outlineLevel="0" collapsed="false">
      <c r="A32" s="10" t="s">
        <v>4</v>
      </c>
      <c r="B32" s="10" t="s">
        <v>109</v>
      </c>
      <c r="C32" s="10" t="s">
        <v>110</v>
      </c>
    </row>
    <row r="33" customFormat="false" ht="15" hidden="false" customHeight="false" outlineLevel="0" collapsed="false">
      <c r="A33" s="12" t="s">
        <v>111</v>
      </c>
      <c r="B33" s="14" t="n">
        <f aca="false">SUMIFS(Raw_Data!$V:$V,Raw_Data!$D:$D,2024,Raw_Data!$C:$C,"Q1")-SUMIFS(Raw_Data!$U:$U,Raw_Data!$D:$D,2024,Raw_Data!$C:$C,"Q1")</f>
        <v>-44226.6799999999</v>
      </c>
      <c r="C33" s="14" t="n">
        <f aca="false">SUMIFS(Raw_Data!$X:$X,Raw_Data!$D:$D,2024,Raw_Data!$C:$C,"Q1")-SUMIFS(Raw_Data!$W:$W,Raw_Data!$D:$D,2024,Raw_Data!$C:$C,"Q1")</f>
        <v>3807.80999999994</v>
      </c>
    </row>
    <row r="34" customFormat="false" ht="15" hidden="false" customHeight="false" outlineLevel="0" collapsed="false">
      <c r="A34" s="12" t="s">
        <v>112</v>
      </c>
      <c r="B34" s="14" t="n">
        <f aca="false">SUMIFS(Raw_Data!$V:$V,Raw_Data!$D:$D,2024,Raw_Data!$C:$C,"Q2")-SUMIFS(Raw_Data!$U:$U,Raw_Data!$D:$D,2024,Raw_Data!$C:$C,"Q2")</f>
        <v>1539.98999999999</v>
      </c>
      <c r="C34" s="14" t="n">
        <f aca="false">SUMIFS(Raw_Data!$X:$X,Raw_Data!$D:$D,2024,Raw_Data!$C:$C,"Q2")-SUMIFS(Raw_Data!$W:$W,Raw_Data!$D:$D,2024,Raw_Data!$C:$C,"Q2")</f>
        <v>-8779.89000000001</v>
      </c>
    </row>
    <row r="35" customFormat="false" ht="15" hidden="false" customHeight="false" outlineLevel="0" collapsed="false">
      <c r="A35" s="12" t="s">
        <v>113</v>
      </c>
      <c r="B35" s="14" t="n">
        <f aca="false">SUMIFS(Raw_Data!$V:$V,Raw_Data!$D:$D,2024,Raw_Data!$C:$C,"Q3")-SUMIFS(Raw_Data!$U:$U,Raw_Data!$D:$D,2024,Raw_Data!$C:$C,"Q3")</f>
        <v>-11117.4099999999</v>
      </c>
      <c r="C35" s="14" t="n">
        <f aca="false">SUMIFS(Raw_Data!$X:$X,Raw_Data!$D:$D,2024,Raw_Data!$C:$C,"Q3")-SUMIFS(Raw_Data!$W:$W,Raw_Data!$D:$D,2024,Raw_Data!$C:$C,"Q3")</f>
        <v>19901.1</v>
      </c>
    </row>
    <row r="36" customFormat="false" ht="15" hidden="false" customHeight="false" outlineLevel="0" collapsed="false">
      <c r="A36" s="12" t="s">
        <v>114</v>
      </c>
      <c r="B36" s="14" t="n">
        <f aca="false">SUMIFS(Raw_Data!$V:$V,Raw_Data!$D:$D,2024,Raw_Data!$C:$C,"Q4")-SUMIFS(Raw_Data!$U:$U,Raw_Data!$D:$D,2024,Raw_Data!$C:$C,"Q4")</f>
        <v>-25473.71</v>
      </c>
      <c r="C36" s="14" t="n">
        <f aca="false">SUMIFS(Raw_Data!$X:$X,Raw_Data!$D:$D,2024,Raw_Data!$C:$C,"Q4")-SUMIFS(Raw_Data!$W:$W,Raw_Data!$D:$D,2024,Raw_Data!$C:$C,"Q4")</f>
        <v>1794.27000000002</v>
      </c>
    </row>
    <row r="37" customFormat="false" ht="15" hidden="false" customHeight="false" outlineLevel="0" collapsed="false">
      <c r="A37" s="12" t="s">
        <v>115</v>
      </c>
      <c r="B37" s="14" t="n">
        <f aca="false">SUMIFS(Raw_Data!$V:$V,Raw_Data!$D:$D,2025,Raw_Data!$C:$C,"Q1")-SUMIFS(Raw_Data!$U:$U,Raw_Data!$D:$D,2025,Raw_Data!$C:$C,"Q1")</f>
        <v>18558.51</v>
      </c>
      <c r="C37" s="14" t="n">
        <f aca="false">SUMIFS(Raw_Data!$X:$X,Raw_Data!$D:$D,2025,Raw_Data!$C:$C,"Q1")-SUMIFS(Raw_Data!$W:$W,Raw_Data!$D:$D,2025,Raw_Data!$C:$C,"Q1")</f>
        <v>18339</v>
      </c>
    </row>
    <row r="38" customFormat="false" ht="15" hidden="false" customHeight="false" outlineLevel="0" collapsed="false">
      <c r="A38" s="12" t="s">
        <v>116</v>
      </c>
      <c r="B38" s="14" t="n">
        <f aca="false">SUMIFS(Raw_Data!$V:$V,Raw_Data!$D:$D,2025,Raw_Data!$C:$C,"Q2")-SUMIFS(Raw_Data!$U:$U,Raw_Data!$D:$D,2025,Raw_Data!$C:$C,"Q2")</f>
        <v>7931.17000000016</v>
      </c>
      <c r="C38" s="14" t="n">
        <f aca="false">SUMIFS(Raw_Data!$X:$X,Raw_Data!$D:$D,2025,Raw_Data!$C:$C,"Q2")-SUMIFS(Raw_Data!$W:$W,Raw_Data!$D:$D,2025,Raw_Data!$C:$C,"Q2")</f>
        <v>373.330000000075</v>
      </c>
    </row>
    <row r="39" customFormat="false" ht="15" hidden="false" customHeight="false" outlineLevel="0" collapsed="false">
      <c r="A39" s="12" t="s">
        <v>117</v>
      </c>
      <c r="B39" s="14" t="n">
        <f aca="false">SUMIFS(Raw_Data!$V:$V,Raw_Data!$D:$D,2025,Raw_Data!$C:$C,"Q3")-SUMIFS(Raw_Data!$U:$U,Raw_Data!$D:$D,2025,Raw_Data!$C:$C,"Q3")</f>
        <v>-32171.53</v>
      </c>
      <c r="C39" s="14" t="n">
        <f aca="false">SUMIFS(Raw_Data!$X:$X,Raw_Data!$D:$D,2025,Raw_Data!$C:$C,"Q3")-SUMIFS(Raw_Data!$W:$W,Raw_Data!$D:$D,2025,Raw_Data!$C:$C,"Q3")</f>
        <v>7121.53000000003</v>
      </c>
    </row>
    <row r="40" customFormat="false" ht="15" hidden="false" customHeight="false" outlineLevel="0" collapsed="false">
      <c r="A40" s="12" t="s">
        <v>118</v>
      </c>
      <c r="B40" s="14" t="n">
        <f aca="false">SUMIFS(Raw_Data!$V:$V,Raw_Data!$D:$D,2025,Raw_Data!$C:$C,"Q4")-SUMIFS(Raw_Data!$U:$U,Raw_Data!$D:$D,2025,Raw_Data!$C:$C,"Q4")</f>
        <v>-27740.76</v>
      </c>
      <c r="C40" s="14" t="n">
        <f aca="false">SUMIFS(Raw_Data!$X:$X,Raw_Data!$D:$D,2025,Raw_Data!$C:$C,"Q4")-SUMIFS(Raw_Data!$W:$W,Raw_Data!$D:$D,2025,Raw_Data!$C:$C,"Q4")</f>
        <v>-5348.54999999981</v>
      </c>
    </row>
    <row r="43" customFormat="false" ht="15" hidden="false" customHeight="false" outlineLevel="0" collapsed="false">
      <c r="A43" s="18" t="s">
        <v>119</v>
      </c>
      <c r="B43" s="18"/>
      <c r="C43" s="18"/>
    </row>
    <row r="44" customFormat="false" ht="23.85" hidden="false" customHeight="false" outlineLevel="0" collapsed="false">
      <c r="A44" s="10" t="s">
        <v>17</v>
      </c>
      <c r="B44" s="10" t="s">
        <v>73</v>
      </c>
      <c r="C44" s="10" t="s">
        <v>74</v>
      </c>
    </row>
    <row r="45" customFormat="false" ht="15" hidden="false" customHeight="false" outlineLevel="0" collapsed="false">
      <c r="A45" s="12" t="s">
        <v>42</v>
      </c>
      <c r="B45" s="14" t="n">
        <f aca="false">SUMIFS(Raw_Data!$V:$V,Raw_Data!$E:$E,A45)</f>
        <v>11765539.8</v>
      </c>
      <c r="C45" s="14" t="n">
        <f aca="false">SUMIFS(Raw_Data!$U:$U,Raw_Data!$E:$E,A45)</f>
        <v>11844791.4</v>
      </c>
    </row>
    <row r="46" customFormat="false" ht="15" hidden="false" customHeight="false" outlineLevel="0" collapsed="false">
      <c r="A46" s="12" t="s">
        <v>60</v>
      </c>
      <c r="B46" s="14" t="n">
        <f aca="false">SUMIFS(Raw_Data!$V:$V,Raw_Data!$E:$E,A46)</f>
        <v>1644913.7</v>
      </c>
      <c r="C46" s="14" t="n">
        <f aca="false">SUMIFS(Raw_Data!$U:$U,Raw_Data!$E:$E,A46)</f>
        <v>1672354.81</v>
      </c>
    </row>
    <row r="47" customFormat="false" ht="15" hidden="false" customHeight="false" outlineLevel="0" collapsed="false">
      <c r="A47" s="12" t="s">
        <v>65</v>
      </c>
      <c r="B47" s="14" t="n">
        <f aca="false">SUMIFS(Raw_Data!$V:$V,Raw_Data!$E:$E,A47)</f>
        <v>1191598.83</v>
      </c>
      <c r="C47" s="14" t="n">
        <f aca="false">SUMIFS(Raw_Data!$U:$U,Raw_Data!$E:$E,A47)</f>
        <v>1197606.54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7" min="2" style="0" width="17"/>
  </cols>
  <sheetData>
    <row r="1" customFormat="false" ht="16.15" hidden="false" customHeight="false" outlineLevel="0" collapsed="false">
      <c r="A1" s="16" t="s">
        <v>120</v>
      </c>
    </row>
    <row r="3" customFormat="false" ht="15" hidden="false" customHeight="false" outlineLevel="0" collapsed="false">
      <c r="A3" s="18" t="s">
        <v>121</v>
      </c>
      <c r="B3" s="18"/>
      <c r="C3" s="18"/>
      <c r="D3" s="18"/>
      <c r="E3" s="18"/>
      <c r="F3" s="18"/>
      <c r="G3" s="18"/>
    </row>
    <row r="4" customFormat="false" ht="23.85" hidden="false" customHeight="false" outlineLevel="0" collapsed="false">
      <c r="A4" s="10" t="s">
        <v>3</v>
      </c>
      <c r="B4" s="10" t="s">
        <v>122</v>
      </c>
      <c r="C4" s="10" t="s">
        <v>123</v>
      </c>
      <c r="D4" s="10" t="s">
        <v>124</v>
      </c>
      <c r="E4" s="10" t="s">
        <v>125</v>
      </c>
      <c r="F4" s="10" t="s">
        <v>126</v>
      </c>
      <c r="G4" s="10" t="s">
        <v>127</v>
      </c>
    </row>
    <row r="5" customFormat="false" ht="15" hidden="false" customHeight="false" outlineLevel="0" collapsed="false">
      <c r="A5" s="19" t="n">
        <v>45292</v>
      </c>
      <c r="B5" s="14" t="n">
        <f aca="false">SUMIFS(Raw_Data!$Z:$Z,Raw_Data!$A:$A,A5)</f>
        <v>769023.38</v>
      </c>
      <c r="C5" s="14" t="n">
        <f aca="false">SUMIFS(Raw_Data!$AA:$AA,Raw_Data!$A:$A,A5)</f>
        <v>181828.49</v>
      </c>
      <c r="D5" s="14" t="n">
        <f aca="false">SUMIFS(Raw_Data!$AB:$AB,Raw_Data!$A:$A,A5)</f>
        <v>1120383.81</v>
      </c>
      <c r="E5" s="14" t="n">
        <f aca="false">B5-C5</f>
        <v>587194.89</v>
      </c>
      <c r="F5" s="20" t="n">
        <f aca="false">IFERROR(B5/SUMIFS(Raw_Data!$I:$I,Raw_Data!$A:$A,A5)*30,0)</f>
        <v>45.6991547141524</v>
      </c>
      <c r="G5" s="20" t="n">
        <f aca="false">IFERROR(C5/SUMIFS(Raw_Data!$J:$J,Raw_Data!$A:$A,A5)*30,0)</f>
        <v>38.2818070813615</v>
      </c>
    </row>
    <row r="6" customFormat="false" ht="15" hidden="false" customHeight="false" outlineLevel="0" collapsed="false">
      <c r="A6" s="19" t="n">
        <v>45323</v>
      </c>
      <c r="B6" s="14" t="n">
        <f aca="false">SUMIFS(Raw_Data!$Z:$Z,Raw_Data!$A:$A,A6)</f>
        <v>781434.88</v>
      </c>
      <c r="C6" s="14" t="n">
        <f aca="false">SUMIFS(Raw_Data!$AA:$AA,Raw_Data!$A:$A,A6)</f>
        <v>187793.68</v>
      </c>
      <c r="D6" s="14" t="n">
        <f aca="false">SUMIFS(Raw_Data!$AB:$AB,Raw_Data!$A:$A,A6)</f>
        <v>1137300.53</v>
      </c>
      <c r="E6" s="14" t="n">
        <f aca="false">B6-C6</f>
        <v>593641.2</v>
      </c>
      <c r="F6" s="20" t="n">
        <f aca="false">IFERROR(B6/SUMIFS(Raw_Data!$I:$I,Raw_Data!$A:$A,A6)*30,0)</f>
        <v>44.7174605248018</v>
      </c>
      <c r="G6" s="20" t="n">
        <f aca="false">IFERROR(C6/SUMIFS(Raw_Data!$J:$J,Raw_Data!$A:$A,A6)*30,0)</f>
        <v>39.7555424647798</v>
      </c>
    </row>
    <row r="7" customFormat="false" ht="15" hidden="false" customHeight="false" outlineLevel="0" collapsed="false">
      <c r="A7" s="19" t="n">
        <v>45352</v>
      </c>
      <c r="B7" s="14" t="n">
        <f aca="false">SUMIFS(Raw_Data!$Z:$Z,Raw_Data!$A:$A,A7)</f>
        <v>797888.76</v>
      </c>
      <c r="C7" s="14" t="n">
        <f aca="false">SUMIFS(Raw_Data!$AA:$AA,Raw_Data!$A:$A,A7)</f>
        <v>187533.68</v>
      </c>
      <c r="D7" s="14" t="n">
        <f aca="false">SUMIFS(Raw_Data!$AB:$AB,Raw_Data!$A:$A,A7)</f>
        <v>1140145.44</v>
      </c>
      <c r="E7" s="14" t="n">
        <f aca="false">B7-C7</f>
        <v>610355.08</v>
      </c>
      <c r="F7" s="20" t="n">
        <f aca="false">IFERROR(B7/SUMIFS(Raw_Data!$I:$I,Raw_Data!$A:$A,A7)*30,0)</f>
        <v>45.5719242834763</v>
      </c>
      <c r="G7" s="20" t="n">
        <f aca="false">IFERROR(C7/SUMIFS(Raw_Data!$J:$J,Raw_Data!$A:$A,A7)*30,0)</f>
        <v>39.9323635309031</v>
      </c>
    </row>
    <row r="8" customFormat="false" ht="15" hidden="false" customHeight="false" outlineLevel="0" collapsed="false">
      <c r="A8" s="19" t="n">
        <v>45383</v>
      </c>
      <c r="B8" s="14" t="n">
        <f aca="false">SUMIFS(Raw_Data!$Z:$Z,Raw_Data!$A:$A,A8)</f>
        <v>817565.94</v>
      </c>
      <c r="C8" s="14" t="n">
        <f aca="false">SUMIFS(Raw_Data!$AA:$AA,Raw_Data!$A:$A,A8)</f>
        <v>190418.46</v>
      </c>
      <c r="D8" s="14" t="n">
        <f aca="false">SUMIFS(Raw_Data!$AB:$AB,Raw_Data!$A:$A,A8)</f>
        <v>1138197.96</v>
      </c>
      <c r="E8" s="14" t="n">
        <f aca="false">B8-C8</f>
        <v>627147.48</v>
      </c>
      <c r="F8" s="20" t="n">
        <f aca="false">IFERROR(B8/SUMIFS(Raw_Data!$I:$I,Raw_Data!$A:$A,A8)*30,0)</f>
        <v>46.0764769504037</v>
      </c>
      <c r="G8" s="20" t="n">
        <f aca="false">IFERROR(C8/SUMIFS(Raw_Data!$J:$J,Raw_Data!$A:$A,A8)*30,0)</f>
        <v>40.9727399900504</v>
      </c>
    </row>
    <row r="9" customFormat="false" ht="15" hidden="false" customHeight="false" outlineLevel="0" collapsed="false">
      <c r="A9" s="19" t="n">
        <v>45413</v>
      </c>
      <c r="B9" s="14" t="n">
        <f aca="false">SUMIFS(Raw_Data!$Z:$Z,Raw_Data!$A:$A,A9)</f>
        <v>863544.6</v>
      </c>
      <c r="C9" s="14" t="n">
        <f aca="false">SUMIFS(Raw_Data!$AA:$AA,Raw_Data!$A:$A,A9)</f>
        <v>178662.85</v>
      </c>
      <c r="D9" s="14" t="n">
        <f aca="false">SUMIFS(Raw_Data!$AB:$AB,Raw_Data!$A:$A,A9)</f>
        <v>1142191.28</v>
      </c>
      <c r="E9" s="14" t="n">
        <f aca="false">B9-C9</f>
        <v>684881.75</v>
      </c>
      <c r="F9" s="20" t="n">
        <f aca="false">IFERROR(B9/SUMIFS(Raw_Data!$I:$I,Raw_Data!$A:$A,A9)*30,0)</f>
        <v>45.7496496902173</v>
      </c>
      <c r="G9" s="20" t="n">
        <f aca="false">IFERROR(C9/SUMIFS(Raw_Data!$J:$J,Raw_Data!$A:$A,A9)*30,0)</f>
        <v>34.722299240576</v>
      </c>
    </row>
    <row r="10" customFormat="false" ht="15" hidden="false" customHeight="false" outlineLevel="0" collapsed="false">
      <c r="A10" s="19" t="n">
        <v>45444</v>
      </c>
      <c r="B10" s="14" t="n">
        <f aca="false">SUMIFS(Raw_Data!$Z:$Z,Raw_Data!$A:$A,A10)</f>
        <v>862117.26</v>
      </c>
      <c r="C10" s="14" t="n">
        <f aca="false">SUMIFS(Raw_Data!$AA:$AA,Raw_Data!$A:$A,A10)</f>
        <v>194757.16</v>
      </c>
      <c r="D10" s="14" t="n">
        <f aca="false">SUMIFS(Raw_Data!$AB:$AB,Raw_Data!$A:$A,A10)</f>
        <v>1161021.82</v>
      </c>
      <c r="E10" s="14" t="n">
        <f aca="false">B10-C10</f>
        <v>667360.1</v>
      </c>
      <c r="F10" s="20" t="n">
        <f aca="false">IFERROR(B10/SUMIFS(Raw_Data!$I:$I,Raw_Data!$A:$A,A10)*30,0)</f>
        <v>45.8033748989355</v>
      </c>
      <c r="G10" s="20" t="n">
        <f aca="false">IFERROR(C10/SUMIFS(Raw_Data!$J:$J,Raw_Data!$A:$A,A10)*30,0)</f>
        <v>37.5962839699779</v>
      </c>
    </row>
    <row r="11" customFormat="false" ht="15" hidden="false" customHeight="false" outlineLevel="0" collapsed="false">
      <c r="A11" s="19" t="n">
        <v>45474</v>
      </c>
      <c r="B11" s="14" t="n">
        <f aca="false">SUMIFS(Raw_Data!$Z:$Z,Raw_Data!$A:$A,A11)</f>
        <v>827846.21</v>
      </c>
      <c r="C11" s="14" t="n">
        <f aca="false">SUMIFS(Raw_Data!$AA:$AA,Raw_Data!$A:$A,A11)</f>
        <v>205092.82</v>
      </c>
      <c r="D11" s="14" t="n">
        <f aca="false">SUMIFS(Raw_Data!$AB:$AB,Raw_Data!$A:$A,A11)</f>
        <v>1153232.4</v>
      </c>
      <c r="E11" s="14" t="n">
        <f aca="false">B11-C11</f>
        <v>622753.39</v>
      </c>
      <c r="F11" s="20" t="n">
        <f aca="false">IFERROR(B11/SUMIFS(Raw_Data!$I:$I,Raw_Data!$A:$A,A11)*30,0)</f>
        <v>45.2756415113148</v>
      </c>
      <c r="G11" s="20" t="n">
        <f aca="false">IFERROR(C11/SUMIFS(Raw_Data!$J:$J,Raw_Data!$A:$A,A11)*30,0)</f>
        <v>40.2597377273842</v>
      </c>
    </row>
    <row r="12" customFormat="false" ht="15" hidden="false" customHeight="false" outlineLevel="0" collapsed="false">
      <c r="A12" s="19" t="n">
        <v>45505</v>
      </c>
      <c r="B12" s="14" t="n">
        <f aca="false">SUMIFS(Raw_Data!$Z:$Z,Raw_Data!$A:$A,A12)</f>
        <v>875385.37</v>
      </c>
      <c r="C12" s="14" t="n">
        <f aca="false">SUMIFS(Raw_Data!$AA:$AA,Raw_Data!$A:$A,A12)</f>
        <v>199370.32</v>
      </c>
      <c r="D12" s="14" t="n">
        <f aca="false">SUMIFS(Raw_Data!$AB:$AB,Raw_Data!$A:$A,A12)</f>
        <v>1170540.27</v>
      </c>
      <c r="E12" s="14" t="n">
        <f aca="false">B12-C12</f>
        <v>676015.05</v>
      </c>
      <c r="F12" s="20" t="n">
        <f aca="false">IFERROR(B12/SUMIFS(Raw_Data!$I:$I,Raw_Data!$A:$A,A12)*30,0)</f>
        <v>45.388595923821</v>
      </c>
      <c r="G12" s="20" t="n">
        <f aca="false">IFERROR(C12/SUMIFS(Raw_Data!$J:$J,Raw_Data!$A:$A,A12)*30,0)</f>
        <v>36.1780121559765</v>
      </c>
    </row>
    <row r="13" customFormat="false" ht="15" hidden="false" customHeight="false" outlineLevel="0" collapsed="false">
      <c r="A13" s="19" t="n">
        <v>45536</v>
      </c>
      <c r="B13" s="14" t="n">
        <f aca="false">SUMIFS(Raw_Data!$Z:$Z,Raw_Data!$A:$A,A13)</f>
        <v>890394.33</v>
      </c>
      <c r="C13" s="14" t="n">
        <f aca="false">SUMIFS(Raw_Data!$AA:$AA,Raw_Data!$A:$A,A13)</f>
        <v>214419.39</v>
      </c>
      <c r="D13" s="14" t="n">
        <f aca="false">SUMIFS(Raw_Data!$AB:$AB,Raw_Data!$A:$A,A13)</f>
        <v>1190334.12</v>
      </c>
      <c r="E13" s="14" t="n">
        <f aca="false">B13-C13</f>
        <v>675974.94</v>
      </c>
      <c r="F13" s="20" t="n">
        <f aca="false">IFERROR(B13/SUMIFS(Raw_Data!$I:$I,Raw_Data!$A:$A,A13)*30,0)</f>
        <v>45.3314524643186</v>
      </c>
      <c r="G13" s="20" t="n">
        <f aca="false">IFERROR(C13/SUMIFS(Raw_Data!$J:$J,Raw_Data!$A:$A,A13)*30,0)</f>
        <v>40.6969153047371</v>
      </c>
    </row>
    <row r="14" customFormat="false" ht="15" hidden="false" customHeight="false" outlineLevel="0" collapsed="false">
      <c r="A14" s="19" t="n">
        <v>45566</v>
      </c>
      <c r="B14" s="14" t="n">
        <f aca="false">SUMIFS(Raw_Data!$Z:$Z,Raw_Data!$A:$A,A14)</f>
        <v>832360.06</v>
      </c>
      <c r="C14" s="14" t="n">
        <f aca="false">SUMIFS(Raw_Data!$AA:$AA,Raw_Data!$A:$A,A14)</f>
        <v>200275.75</v>
      </c>
      <c r="D14" s="14" t="n">
        <f aca="false">SUMIFS(Raw_Data!$AB:$AB,Raw_Data!$A:$A,A14)</f>
        <v>1190635.77</v>
      </c>
      <c r="E14" s="14" t="n">
        <f aca="false">B14-C14</f>
        <v>632084.31</v>
      </c>
      <c r="F14" s="20" t="n">
        <f aca="false">IFERROR(B14/SUMIFS(Raw_Data!$I:$I,Raw_Data!$A:$A,A14)*30,0)</f>
        <v>44.063678918123</v>
      </c>
      <c r="G14" s="20" t="n">
        <f aca="false">IFERROR(C14/SUMIFS(Raw_Data!$J:$J,Raw_Data!$A:$A,A14)*30,0)</f>
        <v>39.2396019607678</v>
      </c>
    </row>
    <row r="15" customFormat="false" ht="15" hidden="false" customHeight="false" outlineLevel="0" collapsed="false">
      <c r="A15" s="19" t="n">
        <v>45597</v>
      </c>
      <c r="B15" s="14" t="n">
        <f aca="false">SUMIFS(Raw_Data!$Z:$Z,Raw_Data!$A:$A,A15)</f>
        <v>887025.67</v>
      </c>
      <c r="C15" s="14" t="n">
        <f aca="false">SUMIFS(Raw_Data!$AA:$AA,Raw_Data!$A:$A,A15)</f>
        <v>219530.7</v>
      </c>
      <c r="D15" s="14" t="n">
        <f aca="false">SUMIFS(Raw_Data!$AB:$AB,Raw_Data!$A:$A,A15)</f>
        <v>1195665.58</v>
      </c>
      <c r="E15" s="14" t="n">
        <f aca="false">B15-C15</f>
        <v>667494.97</v>
      </c>
      <c r="F15" s="20" t="n">
        <f aca="false">IFERROR(B15/SUMIFS(Raw_Data!$I:$I,Raw_Data!$A:$A,A15)*30,0)</f>
        <v>45.6769778473068</v>
      </c>
      <c r="G15" s="20" t="n">
        <f aca="false">IFERROR(C15/SUMIFS(Raw_Data!$J:$J,Raw_Data!$A:$A,A15)*30,0)</f>
        <v>42.2879601920793</v>
      </c>
    </row>
    <row r="16" customFormat="false" ht="15" hidden="false" customHeight="false" outlineLevel="0" collapsed="false">
      <c r="A16" s="19" t="n">
        <v>45627</v>
      </c>
      <c r="B16" s="14" t="n">
        <f aca="false">SUMIFS(Raw_Data!$Z:$Z,Raw_Data!$A:$A,A16)</f>
        <v>921224.53</v>
      </c>
      <c r="C16" s="14" t="n">
        <f aca="false">SUMIFS(Raw_Data!$AA:$AA,Raw_Data!$A:$A,A16)</f>
        <v>209937.75</v>
      </c>
      <c r="D16" s="14" t="n">
        <f aca="false">SUMIFS(Raw_Data!$AB:$AB,Raw_Data!$A:$A,A16)</f>
        <v>1173362.88</v>
      </c>
      <c r="E16" s="14" t="n">
        <f aca="false">B16-C16</f>
        <v>711286.78</v>
      </c>
      <c r="F16" s="20" t="n">
        <f aca="false">IFERROR(B16/SUMIFS(Raw_Data!$I:$I,Raw_Data!$A:$A,A16)*30,0)</f>
        <v>44.4786301371583</v>
      </c>
      <c r="G16" s="20" t="n">
        <f aca="false">IFERROR(C16/SUMIFS(Raw_Data!$J:$J,Raw_Data!$A:$A,A16)*30,0)</f>
        <v>37.8160898973661</v>
      </c>
    </row>
    <row r="17" customFormat="false" ht="15" hidden="false" customHeight="false" outlineLevel="0" collapsed="false">
      <c r="A17" s="19" t="n">
        <v>45658</v>
      </c>
      <c r="B17" s="14" t="n">
        <f aca="false">SUMIFS(Raw_Data!$Z:$Z,Raw_Data!$A:$A,A17)</f>
        <v>890745.93</v>
      </c>
      <c r="C17" s="14" t="n">
        <f aca="false">SUMIFS(Raw_Data!$AA:$AA,Raw_Data!$A:$A,A17)</f>
        <v>215373.11</v>
      </c>
      <c r="D17" s="14" t="n">
        <f aca="false">SUMIFS(Raw_Data!$AB:$AB,Raw_Data!$A:$A,A17)</f>
        <v>1180875.9</v>
      </c>
      <c r="E17" s="14" t="n">
        <f aca="false">B17-C17</f>
        <v>675372.82</v>
      </c>
      <c r="F17" s="20" t="n">
        <f aca="false">IFERROR(B17/SUMIFS(Raw_Data!$I:$I,Raw_Data!$A:$A,A17)*30,0)</f>
        <v>45.9470326343117</v>
      </c>
      <c r="G17" s="20" t="n">
        <f aca="false">IFERROR(C17/SUMIFS(Raw_Data!$J:$J,Raw_Data!$A:$A,A17)*30,0)</f>
        <v>43.5260715119842</v>
      </c>
    </row>
    <row r="18" customFormat="false" ht="15" hidden="false" customHeight="false" outlineLevel="0" collapsed="false">
      <c r="A18" s="19" t="n">
        <v>45689</v>
      </c>
      <c r="B18" s="14" t="n">
        <f aca="false">SUMIFS(Raw_Data!$Z:$Z,Raw_Data!$A:$A,A18)</f>
        <v>988546.68</v>
      </c>
      <c r="C18" s="14" t="n">
        <f aca="false">SUMIFS(Raw_Data!$AA:$AA,Raw_Data!$A:$A,A18)</f>
        <v>216134.94</v>
      </c>
      <c r="D18" s="14" t="n">
        <f aca="false">SUMIFS(Raw_Data!$AB:$AB,Raw_Data!$A:$A,A18)</f>
        <v>1197610.04</v>
      </c>
      <c r="E18" s="14" t="n">
        <f aca="false">B18-C18</f>
        <v>772411.74</v>
      </c>
      <c r="F18" s="20" t="n">
        <f aca="false">IFERROR(B18/SUMIFS(Raw_Data!$I:$I,Raw_Data!$A:$A,A18)*30,0)</f>
        <v>44.9088536421806</v>
      </c>
      <c r="G18" s="20" t="n">
        <f aca="false">IFERROR(C18/SUMIFS(Raw_Data!$J:$J,Raw_Data!$A:$A,A18)*30,0)</f>
        <v>35.3476715303335</v>
      </c>
    </row>
    <row r="19" customFormat="false" ht="15" hidden="false" customHeight="false" outlineLevel="0" collapsed="false">
      <c r="A19" s="19" t="n">
        <v>45717</v>
      </c>
      <c r="B19" s="14" t="n">
        <f aca="false">SUMIFS(Raw_Data!$Z:$Z,Raw_Data!$A:$A,A19)</f>
        <v>968664.07</v>
      </c>
      <c r="C19" s="14" t="n">
        <f aca="false">SUMIFS(Raw_Data!$AA:$AA,Raw_Data!$A:$A,A19)</f>
        <v>218112.29</v>
      </c>
      <c r="D19" s="14" t="n">
        <f aca="false">SUMIFS(Raw_Data!$AB:$AB,Raw_Data!$A:$A,A19)</f>
        <v>1205893.99</v>
      </c>
      <c r="E19" s="14" t="n">
        <f aca="false">B19-C19</f>
        <v>750551.78</v>
      </c>
      <c r="F19" s="20" t="n">
        <f aca="false">IFERROR(B19/SUMIFS(Raw_Data!$I:$I,Raw_Data!$A:$A,A19)*30,0)</f>
        <v>45.1081438827605</v>
      </c>
      <c r="G19" s="20" t="n">
        <f aca="false">IFERROR(C19/SUMIFS(Raw_Data!$J:$J,Raw_Data!$A:$A,A19)*30,0)</f>
        <v>35.3786212923072</v>
      </c>
    </row>
    <row r="20" customFormat="false" ht="15" hidden="false" customHeight="false" outlineLevel="0" collapsed="false">
      <c r="A20" s="19" t="n">
        <v>45748</v>
      </c>
      <c r="B20" s="14" t="n">
        <f aca="false">SUMIFS(Raw_Data!$Z:$Z,Raw_Data!$A:$A,A20)</f>
        <v>998922.9</v>
      </c>
      <c r="C20" s="14" t="n">
        <f aca="false">SUMIFS(Raw_Data!$AA:$AA,Raw_Data!$A:$A,A20)</f>
        <v>223901.95</v>
      </c>
      <c r="D20" s="14" t="n">
        <f aca="false">SUMIFS(Raw_Data!$AB:$AB,Raw_Data!$A:$A,A20)</f>
        <v>1213435.72</v>
      </c>
      <c r="E20" s="14" t="n">
        <f aca="false">B20-C20</f>
        <v>775020.95</v>
      </c>
      <c r="F20" s="20" t="n">
        <f aca="false">IFERROR(B20/SUMIFS(Raw_Data!$I:$I,Raw_Data!$A:$A,A20)*30,0)</f>
        <v>46.3204603728094</v>
      </c>
      <c r="G20" s="20" t="n">
        <f aca="false">IFERROR(C20/SUMIFS(Raw_Data!$J:$J,Raw_Data!$A:$A,A20)*30,0)</f>
        <v>36.6987482432068</v>
      </c>
    </row>
    <row r="21" customFormat="false" ht="15" hidden="false" customHeight="false" outlineLevel="0" collapsed="false">
      <c r="A21" s="19" t="n">
        <v>45778</v>
      </c>
      <c r="B21" s="14" t="n">
        <f aca="false">SUMIFS(Raw_Data!$Z:$Z,Raw_Data!$A:$A,A21)</f>
        <v>994966.68</v>
      </c>
      <c r="C21" s="14" t="n">
        <f aca="false">SUMIFS(Raw_Data!$AA:$AA,Raw_Data!$A:$A,A21)</f>
        <v>234296.85</v>
      </c>
      <c r="D21" s="14" t="n">
        <f aca="false">SUMIFS(Raw_Data!$AB:$AB,Raw_Data!$A:$A,A21)</f>
        <v>1235696.23</v>
      </c>
      <c r="E21" s="14" t="n">
        <f aca="false">B21-C21</f>
        <v>760669.83</v>
      </c>
      <c r="F21" s="20" t="n">
        <f aca="false">IFERROR(B21/SUMIFS(Raw_Data!$I:$I,Raw_Data!$A:$A,A21)*30,0)</f>
        <v>45.6621625388168</v>
      </c>
      <c r="G21" s="20" t="n">
        <f aca="false">IFERROR(C21/SUMIFS(Raw_Data!$J:$J,Raw_Data!$A:$A,A21)*30,0)</f>
        <v>40.2990107546313</v>
      </c>
    </row>
    <row r="22" customFormat="false" ht="15" hidden="false" customHeight="false" outlineLevel="0" collapsed="false">
      <c r="A22" s="19" t="n">
        <v>45809</v>
      </c>
      <c r="B22" s="14" t="n">
        <f aca="false">SUMIFS(Raw_Data!$Z:$Z,Raw_Data!$A:$A,A22)</f>
        <v>985083.41</v>
      </c>
      <c r="C22" s="14" t="n">
        <f aca="false">SUMIFS(Raw_Data!$AA:$AA,Raw_Data!$A:$A,A22)</f>
        <v>218673.24</v>
      </c>
      <c r="D22" s="14" t="n">
        <f aca="false">SUMIFS(Raw_Data!$AB:$AB,Raw_Data!$A:$A,A22)</f>
        <v>1258384.62</v>
      </c>
      <c r="E22" s="14" t="n">
        <f aca="false">B22-C22</f>
        <v>766410.17</v>
      </c>
      <c r="F22" s="20" t="n">
        <f aca="false">IFERROR(B22/SUMIFS(Raw_Data!$I:$I,Raw_Data!$A:$A,A22)*30,0)</f>
        <v>45.5018589438325</v>
      </c>
      <c r="G22" s="20" t="n">
        <f aca="false">IFERROR(C22/SUMIFS(Raw_Data!$J:$J,Raw_Data!$A:$A,A22)*30,0)</f>
        <v>39.6335672690707</v>
      </c>
    </row>
    <row r="23" customFormat="false" ht="15" hidden="false" customHeight="false" outlineLevel="0" collapsed="false">
      <c r="A23" s="19" t="n">
        <v>45839</v>
      </c>
      <c r="B23" s="14" t="n">
        <f aca="false">SUMIFS(Raw_Data!$Z:$Z,Raw_Data!$A:$A,A23)</f>
        <v>1015525.81</v>
      </c>
      <c r="C23" s="14" t="n">
        <f aca="false">SUMIFS(Raw_Data!$AA:$AA,Raw_Data!$A:$A,A23)</f>
        <v>231092.36</v>
      </c>
      <c r="D23" s="14" t="n">
        <f aca="false">SUMIFS(Raw_Data!$AB:$AB,Raw_Data!$A:$A,A23)</f>
        <v>1258693.85</v>
      </c>
      <c r="E23" s="14" t="n">
        <f aca="false">B23-C23</f>
        <v>784433.45</v>
      </c>
      <c r="F23" s="20" t="n">
        <f aca="false">IFERROR(B23/SUMIFS(Raw_Data!$I:$I,Raw_Data!$A:$A,A23)*30,0)</f>
        <v>46.0086433040014</v>
      </c>
      <c r="G23" s="20" t="n">
        <f aca="false">IFERROR(C23/SUMIFS(Raw_Data!$J:$J,Raw_Data!$A:$A,A23)*30,0)</f>
        <v>38.6081214615013</v>
      </c>
    </row>
    <row r="24" customFormat="false" ht="15" hidden="false" customHeight="false" outlineLevel="0" collapsed="false">
      <c r="A24" s="19" t="n">
        <v>45870</v>
      </c>
      <c r="B24" s="14" t="n">
        <f aca="false">SUMIFS(Raw_Data!$Z:$Z,Raw_Data!$A:$A,A24)</f>
        <v>994867.52</v>
      </c>
      <c r="C24" s="14" t="n">
        <f aca="false">SUMIFS(Raw_Data!$AA:$AA,Raw_Data!$A:$A,A24)</f>
        <v>223985.82</v>
      </c>
      <c r="D24" s="14" t="n">
        <f aca="false">SUMIFS(Raw_Data!$AB:$AB,Raw_Data!$A:$A,A24)</f>
        <v>1274020.29</v>
      </c>
      <c r="E24" s="14" t="n">
        <f aca="false">B24-C24</f>
        <v>770881.7</v>
      </c>
      <c r="F24" s="20" t="n">
        <f aca="false">IFERROR(B24/SUMIFS(Raw_Data!$I:$I,Raw_Data!$A:$A,A24)*30,0)</f>
        <v>45.4705971961976</v>
      </c>
      <c r="G24" s="20" t="n">
        <f aca="false">IFERROR(C24/SUMIFS(Raw_Data!$J:$J,Raw_Data!$A:$A,A24)*30,0)</f>
        <v>37.6692904539975</v>
      </c>
    </row>
    <row r="25" customFormat="false" ht="15" hidden="false" customHeight="false" outlineLevel="0" collapsed="false">
      <c r="A25" s="19" t="n">
        <v>45901</v>
      </c>
      <c r="B25" s="14" t="n">
        <f aca="false">SUMIFS(Raw_Data!$Z:$Z,Raw_Data!$A:$A,A25)</f>
        <v>1004742.32</v>
      </c>
      <c r="C25" s="14" t="n">
        <f aca="false">SUMIFS(Raw_Data!$AA:$AA,Raw_Data!$A:$A,A25)</f>
        <v>256318.17</v>
      </c>
      <c r="D25" s="14" t="n">
        <f aca="false">SUMIFS(Raw_Data!$AB:$AB,Raw_Data!$A:$A,A25)</f>
        <v>1276083.35</v>
      </c>
      <c r="E25" s="14" t="n">
        <f aca="false">B25-C25</f>
        <v>748424.15</v>
      </c>
      <c r="F25" s="20" t="n">
        <f aca="false">IFERROR(B25/SUMIFS(Raw_Data!$I:$I,Raw_Data!$A:$A,A25)*30,0)</f>
        <v>45.0392670550182</v>
      </c>
      <c r="G25" s="20" t="n">
        <f aca="false">IFERROR(C25/SUMIFS(Raw_Data!$J:$J,Raw_Data!$A:$A,A25)*30,0)</f>
        <v>42.3051142811809</v>
      </c>
    </row>
    <row r="26" customFormat="false" ht="15" hidden="false" customHeight="false" outlineLevel="0" collapsed="false">
      <c r="A26" s="19" t="n">
        <v>45931</v>
      </c>
      <c r="B26" s="14" t="n">
        <f aca="false">SUMIFS(Raw_Data!$Z:$Z,Raw_Data!$A:$A,A26)</f>
        <v>1009039.16</v>
      </c>
      <c r="C26" s="14" t="n">
        <f aca="false">SUMIFS(Raw_Data!$AA:$AA,Raw_Data!$A:$A,A26)</f>
        <v>237466.08</v>
      </c>
      <c r="D26" s="14" t="n">
        <f aca="false">SUMIFS(Raw_Data!$AB:$AB,Raw_Data!$A:$A,A26)</f>
        <v>1277764.57</v>
      </c>
      <c r="E26" s="14" t="n">
        <f aca="false">B26-C26</f>
        <v>771573.08</v>
      </c>
      <c r="F26" s="20" t="n">
        <f aca="false">IFERROR(B26/SUMIFS(Raw_Data!$I:$I,Raw_Data!$A:$A,A26)*30,0)</f>
        <v>44.2441239594192</v>
      </c>
      <c r="G26" s="20" t="n">
        <f aca="false">IFERROR(C26/SUMIFS(Raw_Data!$J:$J,Raw_Data!$A:$A,A26)*30,0)</f>
        <v>36.1552262803062</v>
      </c>
    </row>
    <row r="27" customFormat="false" ht="15" hidden="false" customHeight="false" outlineLevel="0" collapsed="false">
      <c r="A27" s="19" t="n">
        <v>45962</v>
      </c>
      <c r="B27" s="14" t="n">
        <f aca="false">SUMIFS(Raw_Data!$Z:$Z,Raw_Data!$A:$A,A27)</f>
        <v>1038388.23</v>
      </c>
      <c r="C27" s="14" t="n">
        <f aca="false">SUMIFS(Raw_Data!$AA:$AA,Raw_Data!$A:$A,A27)</f>
        <v>244592.92</v>
      </c>
      <c r="D27" s="14" t="n">
        <f aca="false">SUMIFS(Raw_Data!$AB:$AB,Raw_Data!$A:$A,A27)</f>
        <v>1282612.47</v>
      </c>
      <c r="E27" s="14" t="n">
        <f aca="false">B27-C27</f>
        <v>793795.31</v>
      </c>
      <c r="F27" s="20" t="n">
        <f aca="false">IFERROR(B27/SUMIFS(Raw_Data!$I:$I,Raw_Data!$A:$A,A27)*30,0)</f>
        <v>46.1565309097798</v>
      </c>
      <c r="G27" s="20" t="n">
        <f aca="false">IFERROR(C27/SUMIFS(Raw_Data!$J:$J,Raw_Data!$A:$A,A27)*30,0)</f>
        <v>39.7423593671196</v>
      </c>
    </row>
    <row r="28" customFormat="false" ht="15" hidden="false" customHeight="false" outlineLevel="0" collapsed="false">
      <c r="A28" s="19" t="n">
        <v>45992</v>
      </c>
      <c r="B28" s="14" t="n">
        <f aca="false">SUMIFS(Raw_Data!$Z:$Z,Raw_Data!$A:$A,A28)</f>
        <v>1082342.41</v>
      </c>
      <c r="C28" s="14" t="n">
        <f aca="false">SUMIFS(Raw_Data!$AA:$AA,Raw_Data!$A:$A,A28)</f>
        <v>223019.35</v>
      </c>
      <c r="D28" s="14" t="n">
        <f aca="false">SUMIFS(Raw_Data!$AB:$AB,Raw_Data!$A:$A,A28)</f>
        <v>1297380.46</v>
      </c>
      <c r="E28" s="14" t="n">
        <f aca="false">B28-C28</f>
        <v>859323.06</v>
      </c>
      <c r="F28" s="20" t="n">
        <f aca="false">IFERROR(B28/SUMIFS(Raw_Data!$I:$I,Raw_Data!$A:$A,A28)*30,0)</f>
        <v>45.4615090627465</v>
      </c>
      <c r="G28" s="20" t="n">
        <f aca="false">IFERROR(C28/SUMIFS(Raw_Data!$J:$J,Raw_Data!$A:$A,A28)*30,0)</f>
        <v>34.5850957580279</v>
      </c>
    </row>
    <row r="31" customFormat="false" ht="15" hidden="false" customHeight="false" outlineLevel="0" collapsed="false">
      <c r="A31" s="18" t="s">
        <v>128</v>
      </c>
      <c r="B31" s="18"/>
      <c r="C31" s="18"/>
    </row>
    <row r="32" customFormat="false" ht="23.85" hidden="false" customHeight="false" outlineLevel="0" collapsed="false">
      <c r="A32" s="10" t="s">
        <v>3</v>
      </c>
      <c r="B32" s="10" t="s">
        <v>129</v>
      </c>
      <c r="C32" s="10" t="s">
        <v>130</v>
      </c>
    </row>
    <row r="33" customFormat="false" ht="15" hidden="false" customHeight="false" outlineLevel="0" collapsed="false">
      <c r="A33" s="19" t="n">
        <v>45292</v>
      </c>
      <c r="B33" s="14" t="n">
        <v>0</v>
      </c>
      <c r="C33" s="15" t="n">
        <f aca="false">IFERROR(B5/SUMIFS(Raw_Data!$I:$I,Raw_Data!$A:$A,Working_Capital!A5),0)</f>
        <v>1.52330515713841</v>
      </c>
    </row>
    <row r="34" customFormat="false" ht="15" hidden="false" customHeight="false" outlineLevel="0" collapsed="false">
      <c r="A34" s="19" t="n">
        <v>45323</v>
      </c>
      <c r="B34" s="14" t="n">
        <f aca="false">B6-B5</f>
        <v>12411.4999999999</v>
      </c>
      <c r="C34" s="15" t="n">
        <f aca="false">IFERROR(B6/SUMIFS(Raw_Data!$I:$I,Raw_Data!$A:$A,Working_Capital!A6),0)</f>
        <v>1.49058201749339</v>
      </c>
    </row>
    <row r="35" customFormat="false" ht="15" hidden="false" customHeight="false" outlineLevel="0" collapsed="false">
      <c r="A35" s="19" t="n">
        <v>45352</v>
      </c>
      <c r="B35" s="14" t="n">
        <f aca="false">B7-B6</f>
        <v>16453.88</v>
      </c>
      <c r="C35" s="15" t="n">
        <f aca="false">IFERROR(B7/SUMIFS(Raw_Data!$I:$I,Raw_Data!$A:$A,Working_Capital!A7),0)</f>
        <v>1.51906414278254</v>
      </c>
    </row>
    <row r="36" customFormat="false" ht="15" hidden="false" customHeight="false" outlineLevel="0" collapsed="false">
      <c r="A36" s="19" t="n">
        <v>45383</v>
      </c>
      <c r="B36" s="14" t="n">
        <f aca="false">B8-B7</f>
        <v>19677.1799999999</v>
      </c>
      <c r="C36" s="15" t="n">
        <f aca="false">IFERROR(B8/SUMIFS(Raw_Data!$I:$I,Raw_Data!$A:$A,Working_Capital!A8),0)</f>
        <v>1.53588256501346</v>
      </c>
    </row>
    <row r="37" customFormat="false" ht="15" hidden="false" customHeight="false" outlineLevel="0" collapsed="false">
      <c r="A37" s="19" t="n">
        <v>45413</v>
      </c>
      <c r="B37" s="14" t="n">
        <f aca="false">B9-B8</f>
        <v>45978.66</v>
      </c>
      <c r="C37" s="15" t="n">
        <f aca="false">IFERROR(B9/SUMIFS(Raw_Data!$I:$I,Raw_Data!$A:$A,Working_Capital!A9),0)</f>
        <v>1.52498832300724</v>
      </c>
    </row>
    <row r="38" customFormat="false" ht="15" hidden="false" customHeight="false" outlineLevel="0" collapsed="false">
      <c r="A38" s="19" t="n">
        <v>45444</v>
      </c>
      <c r="B38" s="14" t="n">
        <f aca="false">B10-B9</f>
        <v>-1427.33999999997</v>
      </c>
      <c r="C38" s="15" t="n">
        <f aca="false">IFERROR(B10/SUMIFS(Raw_Data!$I:$I,Raw_Data!$A:$A,Working_Capital!A10),0)</f>
        <v>1.52677916329785</v>
      </c>
    </row>
    <row r="39" customFormat="false" ht="15" hidden="false" customHeight="false" outlineLevel="0" collapsed="false">
      <c r="A39" s="19" t="n">
        <v>45474</v>
      </c>
      <c r="B39" s="14" t="n">
        <f aca="false">B11-B10</f>
        <v>-34271.0500000001</v>
      </c>
      <c r="C39" s="15" t="n">
        <f aca="false">IFERROR(B11/SUMIFS(Raw_Data!$I:$I,Raw_Data!$A:$A,Working_Capital!A11),0)</f>
        <v>1.50918805037716</v>
      </c>
    </row>
    <row r="40" customFormat="false" ht="15" hidden="false" customHeight="false" outlineLevel="0" collapsed="false">
      <c r="A40" s="19" t="n">
        <v>45505</v>
      </c>
      <c r="B40" s="14" t="n">
        <f aca="false">B12-B11</f>
        <v>47539.16</v>
      </c>
      <c r="C40" s="15" t="n">
        <f aca="false">IFERROR(B12/SUMIFS(Raw_Data!$I:$I,Raw_Data!$A:$A,Working_Capital!A12),0)</f>
        <v>1.5129531974607</v>
      </c>
    </row>
    <row r="41" customFormat="false" ht="15" hidden="false" customHeight="false" outlineLevel="0" collapsed="false">
      <c r="A41" s="19" t="n">
        <v>45536</v>
      </c>
      <c r="B41" s="14" t="n">
        <f aca="false">B13-B12</f>
        <v>15008.9600000001</v>
      </c>
      <c r="C41" s="15" t="n">
        <f aca="false">IFERROR(B13/SUMIFS(Raw_Data!$I:$I,Raw_Data!$A:$A,Working_Capital!A13),0)</f>
        <v>1.51104841547729</v>
      </c>
    </row>
    <row r="42" customFormat="false" ht="15" hidden="false" customHeight="false" outlineLevel="0" collapsed="false">
      <c r="A42" s="19" t="n">
        <v>45566</v>
      </c>
      <c r="B42" s="14" t="n">
        <f aca="false">B14-B13</f>
        <v>-58034.27</v>
      </c>
      <c r="C42" s="15" t="n">
        <f aca="false">IFERROR(B14/SUMIFS(Raw_Data!$I:$I,Raw_Data!$A:$A,Working_Capital!A14),0)</f>
        <v>1.46878929727077</v>
      </c>
    </row>
    <row r="43" customFormat="false" ht="15" hidden="false" customHeight="false" outlineLevel="0" collapsed="false">
      <c r="A43" s="19" t="n">
        <v>45597</v>
      </c>
      <c r="B43" s="14" t="n">
        <f aca="false">B15-B14</f>
        <v>54665.6099999999</v>
      </c>
      <c r="C43" s="15" t="n">
        <f aca="false">IFERROR(B15/SUMIFS(Raw_Data!$I:$I,Raw_Data!$A:$A,Working_Capital!A15),0)</f>
        <v>1.52256592824356</v>
      </c>
    </row>
    <row r="44" customFormat="false" ht="15" hidden="false" customHeight="false" outlineLevel="0" collapsed="false">
      <c r="A44" s="19" t="n">
        <v>45627</v>
      </c>
      <c r="B44" s="14" t="n">
        <f aca="false">B16-B15</f>
        <v>34198.8600000001</v>
      </c>
      <c r="C44" s="15" t="n">
        <f aca="false">IFERROR(B16/SUMIFS(Raw_Data!$I:$I,Raw_Data!$A:$A,Working_Capital!A16),0)</f>
        <v>1.48262100457194</v>
      </c>
    </row>
    <row r="45" customFormat="false" ht="15" hidden="false" customHeight="false" outlineLevel="0" collapsed="false">
      <c r="A45" s="19" t="n">
        <v>45658</v>
      </c>
      <c r="B45" s="14" t="n">
        <f aca="false">B17-B16</f>
        <v>-30478.6</v>
      </c>
      <c r="C45" s="15" t="n">
        <f aca="false">IFERROR(B17/SUMIFS(Raw_Data!$I:$I,Raw_Data!$A:$A,Working_Capital!A17),0)</f>
        <v>1.53156775447706</v>
      </c>
    </row>
    <row r="46" customFormat="false" ht="15" hidden="false" customHeight="false" outlineLevel="0" collapsed="false">
      <c r="A46" s="19" t="n">
        <v>45689</v>
      </c>
      <c r="B46" s="14" t="n">
        <f aca="false">B18-B17</f>
        <v>97800.7499999999</v>
      </c>
      <c r="C46" s="15" t="n">
        <f aca="false">IFERROR(B18/SUMIFS(Raw_Data!$I:$I,Raw_Data!$A:$A,Working_Capital!A18),0)</f>
        <v>1.49696178807269</v>
      </c>
    </row>
    <row r="47" customFormat="false" ht="15" hidden="false" customHeight="false" outlineLevel="0" collapsed="false">
      <c r="A47" s="19" t="n">
        <v>45717</v>
      </c>
      <c r="B47" s="14" t="n">
        <f aca="false">B19-B18</f>
        <v>-19882.6099999999</v>
      </c>
      <c r="C47" s="15" t="n">
        <f aca="false">IFERROR(B19/SUMIFS(Raw_Data!$I:$I,Raw_Data!$A:$A,Working_Capital!A19),0)</f>
        <v>1.50360479609202</v>
      </c>
    </row>
    <row r="48" customFormat="false" ht="15" hidden="false" customHeight="false" outlineLevel="0" collapsed="false">
      <c r="A48" s="19" t="n">
        <v>45748</v>
      </c>
      <c r="B48" s="14" t="n">
        <f aca="false">B20-B19</f>
        <v>30258.83</v>
      </c>
      <c r="C48" s="15" t="n">
        <f aca="false">IFERROR(B20/SUMIFS(Raw_Data!$I:$I,Raw_Data!$A:$A,Working_Capital!A20),0)</f>
        <v>1.54401534576031</v>
      </c>
    </row>
    <row r="49" customFormat="false" ht="15" hidden="false" customHeight="false" outlineLevel="0" collapsed="false">
      <c r="A49" s="19" t="n">
        <v>45778</v>
      </c>
      <c r="B49" s="14" t="n">
        <f aca="false">B21-B20</f>
        <v>-3956.21999999997</v>
      </c>
      <c r="C49" s="15" t="n">
        <f aca="false">IFERROR(B21/SUMIFS(Raw_Data!$I:$I,Raw_Data!$A:$A,Working_Capital!A21),0)</f>
        <v>1.52207208462723</v>
      </c>
    </row>
    <row r="50" customFormat="false" ht="15" hidden="false" customHeight="false" outlineLevel="0" collapsed="false">
      <c r="A50" s="19" t="n">
        <v>45809</v>
      </c>
      <c r="B50" s="14" t="n">
        <f aca="false">B22-B21</f>
        <v>-9883.27000000014</v>
      </c>
      <c r="C50" s="15" t="n">
        <f aca="false">IFERROR(B22/SUMIFS(Raw_Data!$I:$I,Raw_Data!$A:$A,Working_Capital!A22),0)</f>
        <v>1.51672863146108</v>
      </c>
    </row>
    <row r="51" customFormat="false" ht="15" hidden="false" customHeight="false" outlineLevel="0" collapsed="false">
      <c r="A51" s="19" t="n">
        <v>45839</v>
      </c>
      <c r="B51" s="14" t="n">
        <f aca="false">B23-B22</f>
        <v>30442.4</v>
      </c>
      <c r="C51" s="15" t="n">
        <f aca="false">IFERROR(B23/SUMIFS(Raw_Data!$I:$I,Raw_Data!$A:$A,Working_Capital!A23),0)</f>
        <v>1.53362144346671</v>
      </c>
    </row>
    <row r="52" customFormat="false" ht="15" hidden="false" customHeight="false" outlineLevel="0" collapsed="false">
      <c r="A52" s="19" t="n">
        <v>45870</v>
      </c>
      <c r="B52" s="14" t="n">
        <f aca="false">B24-B23</f>
        <v>-20658.2899999999</v>
      </c>
      <c r="C52" s="15" t="n">
        <f aca="false">IFERROR(B24/SUMIFS(Raw_Data!$I:$I,Raw_Data!$A:$A,Working_Capital!A24),0)</f>
        <v>1.51568657320659</v>
      </c>
    </row>
    <row r="53" customFormat="false" ht="15" hidden="false" customHeight="false" outlineLevel="0" collapsed="false">
      <c r="A53" s="19" t="n">
        <v>45901</v>
      </c>
      <c r="B53" s="14" t="n">
        <f aca="false">B25-B24</f>
        <v>9874.79999999993</v>
      </c>
      <c r="C53" s="15" t="n">
        <f aca="false">IFERROR(B25/SUMIFS(Raw_Data!$I:$I,Raw_Data!$A:$A,Working_Capital!A25),0)</f>
        <v>1.50130890183394</v>
      </c>
    </row>
    <row r="54" customFormat="false" ht="15" hidden="false" customHeight="false" outlineLevel="0" collapsed="false">
      <c r="A54" s="19" t="n">
        <v>45931</v>
      </c>
      <c r="B54" s="14" t="n">
        <f aca="false">B26-B25</f>
        <v>4296.84000000008</v>
      </c>
      <c r="C54" s="15" t="n">
        <f aca="false">IFERROR(B26/SUMIFS(Raw_Data!$I:$I,Raw_Data!$A:$A,Working_Capital!A26),0)</f>
        <v>1.47480413198064</v>
      </c>
    </row>
    <row r="55" customFormat="false" ht="15" hidden="false" customHeight="false" outlineLevel="0" collapsed="false">
      <c r="A55" s="19" t="n">
        <v>45962</v>
      </c>
      <c r="B55" s="14" t="n">
        <f aca="false">B27-B26</f>
        <v>29349.07</v>
      </c>
      <c r="C55" s="15" t="n">
        <f aca="false">IFERROR(B27/SUMIFS(Raw_Data!$I:$I,Raw_Data!$A:$A,Working_Capital!A27),0)</f>
        <v>1.53855103032599</v>
      </c>
    </row>
    <row r="56" customFormat="false" ht="15" hidden="false" customHeight="false" outlineLevel="0" collapsed="false">
      <c r="A56" s="19" t="n">
        <v>45992</v>
      </c>
      <c r="B56" s="14" t="n">
        <f aca="false">B28-B27</f>
        <v>43954.1800000002</v>
      </c>
      <c r="C56" s="15" t="n">
        <f aca="false">IFERROR(B28/SUMIFS(Raw_Data!$I:$I,Raw_Data!$A:$A,Working_Capital!A28),0)</f>
        <v>1.51538363542488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</cols>
  <sheetData>
    <row r="1" customFormat="false" ht="19.7" hidden="false" customHeight="false" outlineLevel="0" collapsed="false">
      <c r="A1" s="21" t="s">
        <v>131</v>
      </c>
    </row>
    <row r="2" customFormat="false" ht="15" hidden="false" customHeight="false" outlineLevel="0" collapsed="false">
      <c r="A2" s="22" t="s">
        <v>132</v>
      </c>
    </row>
    <row r="4" customFormat="false" ht="15" hidden="false" customHeight="false" outlineLevel="0" collapsed="false">
      <c r="A4" s="18" t="s">
        <v>133</v>
      </c>
      <c r="B4" s="18"/>
    </row>
    <row r="5" customFormat="false" ht="15" hidden="false" customHeight="false" outlineLevel="0" collapsed="false">
      <c r="A5" s="10" t="s">
        <v>134</v>
      </c>
      <c r="B5" s="10" t="s">
        <v>135</v>
      </c>
    </row>
    <row r="6" customFormat="false" ht="15" hidden="false" customHeight="false" outlineLevel="0" collapsed="false">
      <c r="A6" s="12" t="s">
        <v>79</v>
      </c>
      <c r="B6" s="14" t="n">
        <f aca="false">SUM(Raw_Data!I2:I121)</f>
        <v>14602052.33</v>
      </c>
    </row>
    <row r="7" customFormat="false" ht="15" hidden="false" customHeight="false" outlineLevel="0" collapsed="false">
      <c r="A7" s="12" t="s">
        <v>136</v>
      </c>
      <c r="B7" s="15" t="n">
        <f aca="false">IFERROR((Revenue_Analysis!B29-Revenue_Analysis!B6)/Revenue_Analysis!B6,0)</f>
        <v>0.414781759298203</v>
      </c>
    </row>
    <row r="8" customFormat="false" ht="15" hidden="false" customHeight="false" outlineLevel="0" collapsed="false">
      <c r="A8" s="12" t="s">
        <v>96</v>
      </c>
      <c r="B8" s="14" t="n">
        <f aca="false">SUM(Raw_Data!K2:K121)</f>
        <v>10621503.9</v>
      </c>
    </row>
    <row r="9" customFormat="false" ht="15" hidden="false" customHeight="false" outlineLevel="0" collapsed="false">
      <c r="A9" s="12" t="s">
        <v>98</v>
      </c>
      <c r="B9" s="15" t="n">
        <f aca="false">IFERROR(B8/B6,0)</f>
        <v>0.72739801638555</v>
      </c>
    </row>
    <row r="10" customFormat="false" ht="15" hidden="false" customHeight="false" outlineLevel="0" collapsed="false">
      <c r="A10" s="12" t="s">
        <v>10</v>
      </c>
      <c r="B10" s="14" t="n">
        <f aca="false">SUM(Raw_Data!M2:M121)</f>
        <v>6242117.8</v>
      </c>
    </row>
    <row r="11" customFormat="false" ht="15" hidden="false" customHeight="false" outlineLevel="0" collapsed="false">
      <c r="A11" s="12" t="s">
        <v>99</v>
      </c>
      <c r="B11" s="15" t="n">
        <f aca="false">IFERROR(B10/B6,0)</f>
        <v>0.427482223658077</v>
      </c>
    </row>
    <row r="12" customFormat="false" ht="15" hidden="false" customHeight="false" outlineLevel="0" collapsed="false">
      <c r="A12" s="12" t="s">
        <v>97</v>
      </c>
      <c r="B12" s="14" t="n">
        <f aca="false">SUM(Raw_Data!Q2:Q121)</f>
        <v>4039531.21</v>
      </c>
    </row>
    <row r="13" customFormat="false" ht="15" hidden="false" customHeight="false" outlineLevel="0" collapsed="false">
      <c r="A13" s="12" t="s">
        <v>137</v>
      </c>
      <c r="B13" s="15" t="n">
        <f aca="false">IFERROR(B12/B6,0)</f>
        <v>0.276641332239357</v>
      </c>
    </row>
    <row r="14" customFormat="false" ht="15" hidden="false" customHeight="false" outlineLevel="0" collapsed="false">
      <c r="A14" s="12" t="s">
        <v>138</v>
      </c>
      <c r="B14" s="14" t="n">
        <f aca="false">SUM(Raw_Data!L2:L121)</f>
        <v>4379386.1</v>
      </c>
    </row>
    <row r="15" customFormat="false" ht="15" hidden="false" customHeight="false" outlineLevel="0" collapsed="false">
      <c r="A15" s="12" t="s">
        <v>139</v>
      </c>
      <c r="B15" s="14" t="n">
        <f aca="false">SUM(Raw_Data!Y2:Y121)</f>
        <v>-112700.42</v>
      </c>
    </row>
    <row r="16" customFormat="false" ht="15" hidden="false" customHeight="false" outlineLevel="0" collapsed="false">
      <c r="A16" s="12" t="s">
        <v>140</v>
      </c>
      <c r="B16" s="14" t="n">
        <f aca="false">Working_Capital!D28</f>
        <v>1297380.46</v>
      </c>
    </row>
    <row r="17" customFormat="false" ht="15" hidden="false" customHeight="false" outlineLevel="0" collapsed="false">
      <c r="A17" s="12" t="s">
        <v>141</v>
      </c>
      <c r="B17" s="14" t="n">
        <f aca="false">Working_Capital!E28</f>
        <v>859323.06</v>
      </c>
    </row>
    <row r="18" customFormat="false" ht="15" hidden="false" customHeight="false" outlineLevel="0" collapsed="false">
      <c r="A18" s="12" t="s">
        <v>142</v>
      </c>
      <c r="B18" s="14" t="n">
        <f aca="false">Working_Capital!B28</f>
        <v>1082342.41</v>
      </c>
    </row>
    <row r="19" customFormat="false" ht="15" hidden="false" customHeight="false" outlineLevel="0" collapsed="false">
      <c r="A19" s="12" t="s">
        <v>143</v>
      </c>
      <c r="B19" s="14" t="n">
        <f aca="false">Working_Capital!C28</f>
        <v>223019.35</v>
      </c>
    </row>
    <row r="20" customFormat="false" ht="15" hidden="false" customHeight="false" outlineLevel="0" collapsed="false">
      <c r="A20" s="12" t="s">
        <v>144</v>
      </c>
      <c r="B20" s="20" t="n">
        <f aca="false">Working_Capital!F28</f>
        <v>45.4615090627465</v>
      </c>
    </row>
    <row r="21" customFormat="false" ht="15" hidden="false" customHeight="false" outlineLevel="0" collapsed="false">
      <c r="A21" s="12" t="s">
        <v>145</v>
      </c>
      <c r="B21" s="20" t="n">
        <f aca="false">Working_Capital!G28</f>
        <v>34.5850957580279</v>
      </c>
    </row>
    <row r="22" customFormat="false" ht="15" hidden="false" customHeight="false" outlineLevel="0" collapsed="false">
      <c r="A22" s="12" t="s">
        <v>146</v>
      </c>
      <c r="B22" s="15" t="n">
        <f aca="false">IFERROR(B12/B6,0)</f>
        <v>0.276641332239357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2026-08-27T06:05:41Z</dcterms:created>
  <dc:creator>openpyxl</dc:creator>
  <dc:description/>
  <dc:language>en-US</dc:language>
  <cp:lastModifiedBy/>
  <dcterms:modified xsi:type="dcterms:W3CDTF">2026-08-27T06:05:48Z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